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my-project\"/>
    </mc:Choice>
  </mc:AlternateContent>
  <xr:revisionPtr revIDLastSave="0" documentId="13_ncr:1_{A7D1C330-206E-46B6-BC69-F2E105FB1E41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atabase" sheetId="1" r:id="rId1"/>
    <sheet name="Report Card" sheetId="3" r:id="rId2"/>
    <sheet name="Report Sheet" sheetId="4" r:id="rId3"/>
  </sheets>
  <definedNames>
    <definedName name="_xlnm._FilterDatabase" localSheetId="0" hidden="1">Database!$A$1:$K$1</definedName>
    <definedName name="dta">Database!$A$1:$J$31</definedName>
  </definedNames>
  <calcPr calcId="191029"/>
</workbook>
</file>

<file path=xl/calcChain.xml><?xml version="1.0" encoding="utf-8"?>
<calcChain xmlns="http://schemas.openxmlformats.org/spreadsheetml/2006/main">
  <c r="F18" i="4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2" i="1"/>
  <c r="M25" i="3"/>
  <c r="M24" i="3"/>
  <c r="C24" i="4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D15" i="4"/>
  <c r="E15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B9" i="4"/>
  <c r="B8" i="4"/>
  <c r="M23" i="3"/>
  <c r="J16" i="3"/>
  <c r="L16" i="3" s="1"/>
  <c r="J17" i="3"/>
  <c r="K17" i="3" s="1"/>
  <c r="J18" i="3"/>
  <c r="K18" i="3" s="1"/>
  <c r="J19" i="3"/>
  <c r="K19" i="3" s="1"/>
  <c r="J20" i="3"/>
  <c r="L20" i="3" s="1"/>
  <c r="J21" i="3"/>
  <c r="K21" i="3" s="1"/>
  <c r="J15" i="3"/>
  <c r="K15" i="3" s="1"/>
  <c r="D12" i="3"/>
  <c r="D11" i="3"/>
  <c r="F20" i="4" l="1"/>
  <c r="F16" i="4"/>
  <c r="F21" i="4"/>
  <c r="F17" i="4"/>
  <c r="F19" i="4"/>
  <c r="F15" i="4"/>
  <c r="C25" i="4"/>
  <c r="C26" i="4"/>
  <c r="L15" i="3"/>
  <c r="L18" i="3"/>
  <c r="L21" i="3"/>
  <c r="L17" i="3"/>
  <c r="L19" i="3"/>
  <c r="K20" i="3"/>
  <c r="K16" i="3"/>
</calcChain>
</file>

<file path=xl/sharedStrings.xml><?xml version="1.0" encoding="utf-8"?>
<sst xmlns="http://schemas.openxmlformats.org/spreadsheetml/2006/main" count="146" uniqueCount="97">
  <si>
    <t>STUDENT ID</t>
  </si>
  <si>
    <t>NAME</t>
  </si>
  <si>
    <t>DEPT</t>
  </si>
  <si>
    <t>MATHS</t>
  </si>
  <si>
    <t>ENGLISH</t>
  </si>
  <si>
    <t>PHY</t>
  </si>
  <si>
    <t>BIO</t>
  </si>
  <si>
    <t>CHE</t>
  </si>
  <si>
    <t>AGRIC</t>
  </si>
  <si>
    <t>GEO</t>
  </si>
  <si>
    <t>IKT34</t>
  </si>
  <si>
    <t>Adeola Musa</t>
  </si>
  <si>
    <t>Computer Science</t>
  </si>
  <si>
    <t>IKT02</t>
  </si>
  <si>
    <t>Tunde Balogun</t>
  </si>
  <si>
    <t>Accounting</t>
  </si>
  <si>
    <t>IKT89</t>
  </si>
  <si>
    <t>Chioma Okeke</t>
  </si>
  <si>
    <t>Biology</t>
  </si>
  <si>
    <t>IKT11</t>
  </si>
  <si>
    <t>Ibrahim Bello</t>
  </si>
  <si>
    <t>Engineering</t>
  </si>
  <si>
    <t>IKT53</t>
  </si>
  <si>
    <t>Ngozi Eze</t>
  </si>
  <si>
    <t>Economics</t>
  </si>
  <si>
    <t>IKT27</t>
  </si>
  <si>
    <t>Samuel Adeyemi</t>
  </si>
  <si>
    <t>Geography</t>
  </si>
  <si>
    <t>IKT75</t>
  </si>
  <si>
    <t>Ruth Akinwale</t>
  </si>
  <si>
    <t>Microbiology</t>
  </si>
  <si>
    <t>IKT20</t>
  </si>
  <si>
    <t>Emeka Obi</t>
  </si>
  <si>
    <t>Physics</t>
  </si>
  <si>
    <t>IKT61</t>
  </si>
  <si>
    <t>Zainab Sadiq</t>
  </si>
  <si>
    <t>Chemistry</t>
  </si>
  <si>
    <t>IKT08</t>
  </si>
  <si>
    <t>David Ojo</t>
  </si>
  <si>
    <t>IKT44</t>
  </si>
  <si>
    <t>Grace Nwosu</t>
  </si>
  <si>
    <t>IKT92</t>
  </si>
  <si>
    <t>Kingsley Uche</t>
  </si>
  <si>
    <t>IKT36</t>
  </si>
  <si>
    <t>Amina Bello</t>
  </si>
  <si>
    <t>Agriculture</t>
  </si>
  <si>
    <t>IKT14</t>
  </si>
  <si>
    <t>Peter Okon</t>
  </si>
  <si>
    <t>Geology</t>
  </si>
  <si>
    <t>IKT71</t>
  </si>
  <si>
    <t>Blessing Eze</t>
  </si>
  <si>
    <t>IKT16</t>
  </si>
  <si>
    <t>Kolade Lawal</t>
  </si>
  <si>
    <t>IKT50</t>
  </si>
  <si>
    <t>Halima Musa</t>
  </si>
  <si>
    <t>IKT83</t>
  </si>
  <si>
    <t>Victor James</t>
  </si>
  <si>
    <t>IKT05</t>
  </si>
  <si>
    <t>Joy Olatunji</t>
  </si>
  <si>
    <t>IKT99</t>
  </si>
  <si>
    <t>Sani Abdullahi</t>
  </si>
  <si>
    <t>IKT21</t>
  </si>
  <si>
    <t>Esther Okafor</t>
  </si>
  <si>
    <t>IKT64</t>
  </si>
  <si>
    <t>Adewale Yusuf</t>
  </si>
  <si>
    <t>IKT03</t>
  </si>
  <si>
    <t>Chinedu Nnamdi</t>
  </si>
  <si>
    <t>IKT57</t>
  </si>
  <si>
    <t>Maryam Aliyu</t>
  </si>
  <si>
    <t>IKT41</t>
  </si>
  <si>
    <t>Paul Johnson</t>
  </si>
  <si>
    <t>IKT12</t>
  </si>
  <si>
    <t>Lilian Obi</t>
  </si>
  <si>
    <t>IKT68</t>
  </si>
  <si>
    <t>Usman Garba</t>
  </si>
  <si>
    <t>IKT25</t>
  </si>
  <si>
    <t>Rachel Danjuma</t>
  </si>
  <si>
    <t>IKT77</t>
  </si>
  <si>
    <t>Stephen Adeoye</t>
  </si>
  <si>
    <t>IKT01</t>
  </si>
  <si>
    <t>Fatima Lawal</t>
  </si>
  <si>
    <t xml:space="preserve">      </t>
  </si>
  <si>
    <t>AL-NUR HIGH SCHOOL</t>
  </si>
  <si>
    <t>SUBJECT</t>
  </si>
  <si>
    <t>PASS MARK</t>
  </si>
  <si>
    <t>MARKS OBTAIN</t>
  </si>
  <si>
    <t>PERCENTAGE</t>
  </si>
  <si>
    <t>GRADE</t>
  </si>
  <si>
    <t>TOTAL MARKS</t>
  </si>
  <si>
    <t>TOTAL MARK</t>
  </si>
  <si>
    <t>RANK</t>
  </si>
  <si>
    <t>AVERAGE</t>
  </si>
  <si>
    <t>STUDENT ID :</t>
  </si>
  <si>
    <t>NAME :</t>
  </si>
  <si>
    <r>
      <t xml:space="preserve">DEPT </t>
    </r>
    <r>
      <rPr>
        <sz val="10"/>
        <color rgb="FF000000"/>
        <rFont val="Arial"/>
        <family val="2"/>
        <scheme val="minor"/>
      </rPr>
      <t xml:space="preserve"> </t>
    </r>
    <r>
      <rPr>
        <b/>
        <sz val="10"/>
        <color rgb="FF000000"/>
        <rFont val="Arial"/>
        <family val="2"/>
        <scheme val="minor"/>
      </rPr>
      <t>:</t>
    </r>
  </si>
  <si>
    <r>
      <t>T</t>
    </r>
    <r>
      <rPr>
        <b/>
        <sz val="10"/>
        <color rgb="FF000000"/>
        <rFont val="Arial"/>
        <family val="2"/>
        <scheme val="minor"/>
      </rPr>
      <t>eacher's Remark :</t>
    </r>
  </si>
  <si>
    <t>Sign/Date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</si>
</sst>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1"/>
      <color theme="1"/>
      <name val="'Segoe UI'"/>
    </font>
    <font>
      <sz val="11"/>
      <color theme="1"/>
      <name val="'Segoe UI'"/>
    </font>
    <font>
      <sz val="11"/>
      <color theme="1"/>
      <name val="Arial"/>
    </font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b/>
      <sz val="2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2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3" borderId="0" xfId="0" applyFill="1"/>
    <xf numFmtId="0" fontId="6" fillId="3" borderId="0" xfId="0" applyFont="1" applyFill="1" applyAlignment="1">
      <alignment horizontal="center" vertical="center"/>
    </xf>
    <xf numFmtId="0" fontId="7" fillId="3" borderId="0" xfId="0" applyFont="1" applyFill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9" fontId="0" fillId="3" borderId="1" xfId="1" applyFont="1" applyFill="1" applyBorder="1"/>
    <xf numFmtId="0" fontId="7" fillId="3" borderId="1" xfId="0" applyFont="1" applyFill="1" applyBorder="1"/>
    <xf numFmtId="9" fontId="0" fillId="3" borderId="0" xfId="1" applyFont="1" applyFill="1"/>
    <xf numFmtId="0" fontId="5" fillId="2" borderId="1" xfId="0" applyFont="1" applyFill="1" applyBorder="1"/>
    <xf numFmtId="0" fontId="0" fillId="4" borderId="0" xfId="0" applyFill="1"/>
    <xf numFmtId="0" fontId="5" fillId="4" borderId="1" xfId="0" applyFont="1" applyFill="1" applyBorder="1"/>
    <xf numFmtId="0" fontId="0" fillId="4" borderId="0" xfId="0" applyFill="1" applyAlignment="1">
      <alignment horizontal="center"/>
    </xf>
    <xf numFmtId="0" fontId="7" fillId="4" borderId="1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9" fontId="7" fillId="4" borderId="1" xfId="1" applyFont="1" applyFill="1" applyBorder="1"/>
    <xf numFmtId="1" fontId="2" fillId="0" borderId="0" xfId="0" applyNumberFormat="1" applyFont="1"/>
    <xf numFmtId="9" fontId="0" fillId="4" borderId="1" xfId="1" applyFont="1" applyFill="1" applyBorder="1"/>
    <xf numFmtId="0" fontId="0" fillId="4" borderId="1" xfId="1" applyNumberFormat="1" applyFont="1" applyFill="1" applyBorder="1"/>
    <xf numFmtId="9" fontId="0" fillId="4" borderId="0" xfId="1" applyFont="1" applyFill="1"/>
    <xf numFmtId="0" fontId="7" fillId="4" borderId="0" xfId="0" applyFont="1" applyFill="1"/>
    <xf numFmtId="0" fontId="0" fillId="4" borderId="2" xfId="0" applyFill="1" applyBorder="1"/>
    <xf numFmtId="0" fontId="5" fillId="4" borderId="0" xfId="0" applyFont="1" applyFill="1"/>
    <xf numFmtId="0" fontId="6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10/relationships/person" Target="persons/person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533400</xdr:colOff>
      <xdr:row>3</xdr:row>
      <xdr:rowOff>85839</xdr:rowOff>
    </xdr:from>
    <xdr:ext cx="2143124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B65135B-C0D9-C75F-6EC9-27FCB71F2F5A}"/>
            </a:ext>
          </a:extLst>
        </xdr:cNvPr>
        <xdr:cNvSpPr txBox="1"/>
      </xdr:nvSpPr>
      <xdr:spPr>
        <a:xfrm flipH="1">
          <a:off x="4800600" y="571614"/>
          <a:ext cx="2143124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1600" b="1" u="sng">
              <a:latin typeface="Calibri" panose="020F0502020204030204" pitchFamily="34" charset="0"/>
              <a:cs typeface="Calibri" panose="020F0502020204030204" pitchFamily="34" charset="0"/>
            </a:rPr>
            <a:t>REPORT CARD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266700</xdr:colOff>
      <xdr:row>2</xdr:row>
      <xdr:rowOff>123825</xdr:rowOff>
    </xdr:from>
    <xdr:ext cx="2600325" cy="3429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804C5DB-C912-02E2-ECE0-22BB3D006B89}"/>
            </a:ext>
          </a:extLst>
        </xdr:cNvPr>
        <xdr:cNvSpPr txBox="1"/>
      </xdr:nvSpPr>
      <xdr:spPr>
        <a:xfrm>
          <a:off x="1866900" y="447675"/>
          <a:ext cx="2600325" cy="342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 b="1"/>
            <a:t>               REPORT CARD</a:t>
          </a:r>
        </a:p>
      </xdr:txBody>
    </xdr:sp>
    <xdr:clientData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1"/>
  <sheetViews>
    <sheetView topLeftCell="A11" workbookViewId="0">
      <selection activeCell="M22" sqref="M22"/>
    </sheetView>
  </sheetViews>
  <sheetFormatPr defaultColWidth="12.5703125" defaultRowHeight="15.75" customHeight="1"/>
  <cols>
    <col min="2" max="2" width="14.85546875" customWidth="1"/>
  </cols>
  <sheetData>
    <row r="1" spans="1:12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91</v>
      </c>
      <c r="L1" s="1" t="s">
        <v>90</v>
      </c>
    </row>
    <row r="2" spans="1:12" ht="14.25">
      <c r="A2" s="2" t="s">
        <v>10</v>
      </c>
      <c r="B2" s="2" t="s">
        <v>11</v>
      </c>
      <c r="C2" s="2" t="s">
        <v>12</v>
      </c>
      <c r="D2" s="2">
        <v>78</v>
      </c>
      <c r="E2" s="2">
        <v>65</v>
      </c>
      <c r="F2" s="3">
        <v>44</v>
      </c>
      <c r="G2" s="2">
        <v>74</v>
      </c>
      <c r="H2" s="2">
        <v>69</v>
      </c>
      <c r="I2" s="2">
        <v>55</v>
      </c>
      <c r="J2" s="2">
        <v>60</v>
      </c>
      <c r="K2" s="22">
        <f>AVERAGE(D2:J2)</f>
        <v>63.571428571428569</v>
      </c>
      <c r="L2">
        <f>RANK(K2,$K$2:$K$31,0)</f>
        <v>24</v>
      </c>
    </row>
    <row r="3" spans="1:12" ht="14.25">
      <c r="A3" s="2" t="s">
        <v>13</v>
      </c>
      <c r="B3" s="2" t="s">
        <v>14</v>
      </c>
      <c r="C3" s="2" t="s">
        <v>15</v>
      </c>
      <c r="D3" s="2">
        <v>55</v>
      </c>
      <c r="E3" s="2">
        <v>60</v>
      </c>
      <c r="F3" s="2">
        <v>48</v>
      </c>
      <c r="G3" s="2">
        <v>52</v>
      </c>
      <c r="H3" s="2">
        <v>72</v>
      </c>
      <c r="I3" s="2">
        <v>67</v>
      </c>
      <c r="J3" s="2">
        <v>58</v>
      </c>
      <c r="K3" s="22">
        <f t="shared" ref="K3:K31" si="0">AVERAGE(D3:J3)</f>
        <v>58.857142857142854</v>
      </c>
      <c r="L3">
        <f t="shared" ref="L3:L31" si="1">RANK(K3,$K$2:$K$31,0)</f>
        <v>30</v>
      </c>
    </row>
    <row r="4" spans="1:12" ht="14.25">
      <c r="A4" s="2" t="s">
        <v>16</v>
      </c>
      <c r="B4" s="2" t="s">
        <v>17</v>
      </c>
      <c r="C4" s="2" t="s">
        <v>18</v>
      </c>
      <c r="D4" s="2">
        <v>85</v>
      </c>
      <c r="E4" s="2">
        <v>79</v>
      </c>
      <c r="F4" s="2">
        <v>74</v>
      </c>
      <c r="G4" s="2">
        <v>88</v>
      </c>
      <c r="H4" s="2">
        <v>81</v>
      </c>
      <c r="I4" s="2">
        <v>70</v>
      </c>
      <c r="J4" s="2">
        <v>72</v>
      </c>
      <c r="K4" s="22">
        <f t="shared" si="0"/>
        <v>78.428571428571431</v>
      </c>
      <c r="L4">
        <f t="shared" si="1"/>
        <v>1</v>
      </c>
    </row>
    <row r="5" spans="1:12" ht="14.25">
      <c r="A5" s="2" t="s">
        <v>19</v>
      </c>
      <c r="B5" s="2" t="s">
        <v>20</v>
      </c>
      <c r="C5" s="2" t="s">
        <v>21</v>
      </c>
      <c r="D5" s="2">
        <v>90</v>
      </c>
      <c r="E5" s="2">
        <v>76</v>
      </c>
      <c r="F5" s="2">
        <v>88</v>
      </c>
      <c r="G5" s="3">
        <v>55</v>
      </c>
      <c r="H5" s="2">
        <v>84</v>
      </c>
      <c r="I5" s="2">
        <v>73</v>
      </c>
      <c r="J5" s="2">
        <v>75</v>
      </c>
      <c r="K5" s="22">
        <f t="shared" si="0"/>
        <v>77.285714285714292</v>
      </c>
      <c r="L5">
        <f t="shared" si="1"/>
        <v>3</v>
      </c>
    </row>
    <row r="6" spans="1:12" ht="14.25">
      <c r="A6" s="2" t="s">
        <v>22</v>
      </c>
      <c r="B6" s="2" t="s">
        <v>23</v>
      </c>
      <c r="C6" s="2" t="s">
        <v>24</v>
      </c>
      <c r="D6" s="2">
        <v>62</v>
      </c>
      <c r="E6" s="2">
        <v>70</v>
      </c>
      <c r="F6" s="2">
        <v>58</v>
      </c>
      <c r="G6" s="2">
        <v>60</v>
      </c>
      <c r="H6" s="2">
        <v>64</v>
      </c>
      <c r="I6" s="2">
        <v>66</v>
      </c>
      <c r="J6" s="2">
        <v>59</v>
      </c>
      <c r="K6" s="22">
        <f t="shared" si="0"/>
        <v>62.714285714285715</v>
      </c>
      <c r="L6">
        <f t="shared" si="1"/>
        <v>26</v>
      </c>
    </row>
    <row r="7" spans="1:12" ht="14.25">
      <c r="A7" s="2" t="s">
        <v>25</v>
      </c>
      <c r="B7" s="2" t="s">
        <v>26</v>
      </c>
      <c r="C7" s="2" t="s">
        <v>27</v>
      </c>
      <c r="D7" s="2">
        <v>71</v>
      </c>
      <c r="E7" s="2">
        <v>68</v>
      </c>
      <c r="F7" s="2">
        <v>72</v>
      </c>
      <c r="G7" s="2">
        <v>65</v>
      </c>
      <c r="H7" s="2">
        <v>60</v>
      </c>
      <c r="I7" s="2">
        <v>75</v>
      </c>
      <c r="J7" s="3">
        <v>44</v>
      </c>
      <c r="K7" s="22">
        <f t="shared" si="0"/>
        <v>65</v>
      </c>
      <c r="L7">
        <f t="shared" si="1"/>
        <v>23</v>
      </c>
    </row>
    <row r="8" spans="1:12" ht="14.25">
      <c r="A8" s="2" t="s">
        <v>28</v>
      </c>
      <c r="B8" s="2" t="s">
        <v>29</v>
      </c>
      <c r="C8" s="2" t="s">
        <v>30</v>
      </c>
      <c r="D8" s="3">
        <v>44</v>
      </c>
      <c r="E8" s="2">
        <v>74</v>
      </c>
      <c r="F8" s="2">
        <v>78</v>
      </c>
      <c r="G8" s="2">
        <v>82</v>
      </c>
      <c r="H8" s="2">
        <v>77</v>
      </c>
      <c r="I8" s="2">
        <v>69</v>
      </c>
      <c r="J8" s="2">
        <v>70</v>
      </c>
      <c r="K8" s="22">
        <f t="shared" si="0"/>
        <v>70.571428571428569</v>
      </c>
      <c r="L8">
        <f t="shared" si="1"/>
        <v>13</v>
      </c>
    </row>
    <row r="9" spans="1:12" ht="14.25">
      <c r="A9" s="2" t="s">
        <v>31</v>
      </c>
      <c r="B9" s="2" t="s">
        <v>32</v>
      </c>
      <c r="C9" s="2" t="s">
        <v>33</v>
      </c>
      <c r="D9" s="3">
        <v>44</v>
      </c>
      <c r="E9" s="2">
        <v>66</v>
      </c>
      <c r="F9" s="2">
        <v>91</v>
      </c>
      <c r="G9" s="2">
        <v>73</v>
      </c>
      <c r="H9" s="2">
        <v>85</v>
      </c>
      <c r="I9" s="2">
        <v>60</v>
      </c>
      <c r="J9" s="2">
        <v>64</v>
      </c>
      <c r="K9" s="22">
        <f t="shared" si="0"/>
        <v>69</v>
      </c>
      <c r="L9">
        <f t="shared" si="1"/>
        <v>16</v>
      </c>
    </row>
    <row r="10" spans="1:12" ht="14.25">
      <c r="A10" s="2" t="s">
        <v>34</v>
      </c>
      <c r="B10" s="2" t="s">
        <v>35</v>
      </c>
      <c r="C10" s="2" t="s">
        <v>36</v>
      </c>
      <c r="D10" s="2">
        <v>73</v>
      </c>
      <c r="E10" s="2">
        <v>70</v>
      </c>
      <c r="F10" s="2">
        <v>75</v>
      </c>
      <c r="G10" s="2">
        <v>68</v>
      </c>
      <c r="H10" s="2">
        <v>80</v>
      </c>
      <c r="I10" s="2">
        <v>65</v>
      </c>
      <c r="J10" s="2">
        <v>69</v>
      </c>
      <c r="K10" s="22">
        <f t="shared" si="0"/>
        <v>71.428571428571431</v>
      </c>
      <c r="L10">
        <f t="shared" si="1"/>
        <v>9</v>
      </c>
    </row>
    <row r="11" spans="1:12" ht="14.25">
      <c r="A11" s="2" t="s">
        <v>37</v>
      </c>
      <c r="B11" s="2" t="s">
        <v>38</v>
      </c>
      <c r="C11" s="2" t="s">
        <v>21</v>
      </c>
      <c r="D11" s="3">
        <v>44</v>
      </c>
      <c r="E11" s="2">
        <v>77</v>
      </c>
      <c r="F11" s="3">
        <v>55</v>
      </c>
      <c r="G11" s="2">
        <v>79</v>
      </c>
      <c r="H11" s="2">
        <v>81</v>
      </c>
      <c r="I11" s="2">
        <v>72</v>
      </c>
      <c r="J11" s="2">
        <v>74</v>
      </c>
      <c r="K11" s="22">
        <f t="shared" si="0"/>
        <v>68.857142857142861</v>
      </c>
      <c r="L11">
        <f t="shared" si="1"/>
        <v>17</v>
      </c>
    </row>
    <row r="12" spans="1:12" ht="14.25">
      <c r="A12" s="2" t="s">
        <v>39</v>
      </c>
      <c r="B12" s="2" t="s">
        <v>40</v>
      </c>
      <c r="C12" s="2" t="s">
        <v>18</v>
      </c>
      <c r="D12" s="3">
        <v>56</v>
      </c>
      <c r="E12" s="2">
        <v>72</v>
      </c>
      <c r="F12" s="2">
        <v>65</v>
      </c>
      <c r="G12" s="2">
        <v>70</v>
      </c>
      <c r="H12" s="2">
        <v>68</v>
      </c>
      <c r="I12" s="2">
        <v>64</v>
      </c>
      <c r="J12" s="2">
        <v>66</v>
      </c>
      <c r="K12" s="22">
        <f t="shared" si="0"/>
        <v>65.857142857142861</v>
      </c>
      <c r="L12">
        <f t="shared" si="1"/>
        <v>22</v>
      </c>
    </row>
    <row r="13" spans="1:12" ht="14.25">
      <c r="A13" s="2" t="s">
        <v>41</v>
      </c>
      <c r="B13" s="2" t="s">
        <v>42</v>
      </c>
      <c r="C13" s="2" t="s">
        <v>12</v>
      </c>
      <c r="D13" s="2">
        <v>75</v>
      </c>
      <c r="E13" s="2">
        <v>71</v>
      </c>
      <c r="F13" s="3">
        <v>66</v>
      </c>
      <c r="G13" s="2">
        <v>74</v>
      </c>
      <c r="H13" s="2">
        <v>72</v>
      </c>
      <c r="I13" s="2">
        <v>69</v>
      </c>
      <c r="J13" s="2">
        <v>70</v>
      </c>
      <c r="K13" s="22">
        <f t="shared" si="0"/>
        <v>71</v>
      </c>
      <c r="L13">
        <f t="shared" si="1"/>
        <v>12</v>
      </c>
    </row>
    <row r="14" spans="1:12" ht="14.25">
      <c r="A14" s="2" t="s">
        <v>43</v>
      </c>
      <c r="B14" s="2" t="s">
        <v>44</v>
      </c>
      <c r="C14" s="2" t="s">
        <v>45</v>
      </c>
      <c r="D14" s="2">
        <v>66</v>
      </c>
      <c r="E14" s="2">
        <v>68</v>
      </c>
      <c r="F14" s="2">
        <v>62</v>
      </c>
      <c r="G14" s="2">
        <v>64</v>
      </c>
      <c r="H14" s="2">
        <v>65</v>
      </c>
      <c r="I14" s="2">
        <v>78</v>
      </c>
      <c r="J14" s="2">
        <v>72</v>
      </c>
      <c r="K14" s="22">
        <f t="shared" si="0"/>
        <v>67.857142857142861</v>
      </c>
      <c r="L14">
        <f t="shared" si="1"/>
        <v>18</v>
      </c>
    </row>
    <row r="15" spans="1:12" ht="14.25">
      <c r="A15" s="2" t="s">
        <v>46</v>
      </c>
      <c r="B15" s="2" t="s">
        <v>47</v>
      </c>
      <c r="C15" s="2" t="s">
        <v>48</v>
      </c>
      <c r="D15" s="3">
        <v>55</v>
      </c>
      <c r="E15" s="2">
        <v>73</v>
      </c>
      <c r="F15" s="2">
        <v>76</v>
      </c>
      <c r="G15" s="2">
        <v>68</v>
      </c>
      <c r="H15" s="2">
        <v>74</v>
      </c>
      <c r="I15" s="2">
        <v>60</v>
      </c>
      <c r="J15" s="2">
        <v>82</v>
      </c>
      <c r="K15" s="22">
        <f t="shared" si="0"/>
        <v>69.714285714285708</v>
      </c>
      <c r="L15">
        <f t="shared" si="1"/>
        <v>14</v>
      </c>
    </row>
    <row r="16" spans="1:12" ht="14.25">
      <c r="A16" s="2" t="s">
        <v>49</v>
      </c>
      <c r="B16" s="2" t="s">
        <v>50</v>
      </c>
      <c r="C16" s="2" t="s">
        <v>15</v>
      </c>
      <c r="D16" s="2">
        <v>72</v>
      </c>
      <c r="E16" s="2">
        <v>65</v>
      </c>
      <c r="F16" s="2">
        <v>60</v>
      </c>
      <c r="G16" s="2">
        <v>58</v>
      </c>
      <c r="H16" s="2">
        <v>69</v>
      </c>
      <c r="I16" s="2">
        <v>70</v>
      </c>
      <c r="J16" s="3">
        <v>44</v>
      </c>
      <c r="K16" s="22">
        <f t="shared" si="0"/>
        <v>62.571428571428569</v>
      </c>
      <c r="L16">
        <f t="shared" si="1"/>
        <v>27</v>
      </c>
    </row>
    <row r="17" spans="1:12" ht="14.25">
      <c r="A17" s="2" t="s">
        <v>51</v>
      </c>
      <c r="B17" s="2" t="s">
        <v>52</v>
      </c>
      <c r="C17" s="2" t="s">
        <v>24</v>
      </c>
      <c r="D17" s="2">
        <v>68</v>
      </c>
      <c r="E17" s="2">
        <v>72</v>
      </c>
      <c r="F17" s="2">
        <v>70</v>
      </c>
      <c r="G17" s="2">
        <v>66</v>
      </c>
      <c r="H17" s="2">
        <v>71</v>
      </c>
      <c r="I17" s="2">
        <v>63</v>
      </c>
      <c r="J17" s="2">
        <v>60</v>
      </c>
      <c r="K17" s="22">
        <f t="shared" si="0"/>
        <v>67.142857142857139</v>
      </c>
      <c r="L17">
        <f t="shared" si="1"/>
        <v>20</v>
      </c>
    </row>
    <row r="18" spans="1:12" ht="14.25">
      <c r="A18" s="2" t="s">
        <v>53</v>
      </c>
      <c r="B18" s="2" t="s">
        <v>54</v>
      </c>
      <c r="C18" s="2" t="s">
        <v>45</v>
      </c>
      <c r="D18" s="2">
        <v>64</v>
      </c>
      <c r="E18" s="2">
        <v>66</v>
      </c>
      <c r="F18" s="3">
        <v>55</v>
      </c>
      <c r="G18" s="2">
        <v>65</v>
      </c>
      <c r="H18" s="2">
        <v>68</v>
      </c>
      <c r="I18" s="2">
        <v>74</v>
      </c>
      <c r="J18" s="2">
        <v>70</v>
      </c>
      <c r="K18" s="22">
        <f t="shared" si="0"/>
        <v>66</v>
      </c>
      <c r="L18">
        <f t="shared" si="1"/>
        <v>21</v>
      </c>
    </row>
    <row r="19" spans="1:12" ht="14.25">
      <c r="A19" s="2" t="s">
        <v>55</v>
      </c>
      <c r="B19" s="2" t="s">
        <v>56</v>
      </c>
      <c r="C19" s="2" t="s">
        <v>33</v>
      </c>
      <c r="D19" s="2">
        <v>77</v>
      </c>
      <c r="E19" s="3">
        <v>55</v>
      </c>
      <c r="F19" s="2">
        <v>85</v>
      </c>
      <c r="G19" s="2">
        <v>70</v>
      </c>
      <c r="H19" s="2">
        <v>80</v>
      </c>
      <c r="I19" s="2">
        <v>66</v>
      </c>
      <c r="J19" s="2">
        <v>68</v>
      </c>
      <c r="K19" s="22">
        <f t="shared" si="0"/>
        <v>71.571428571428569</v>
      </c>
      <c r="L19">
        <f t="shared" si="1"/>
        <v>8</v>
      </c>
    </row>
    <row r="20" spans="1:12" ht="14.25">
      <c r="A20" s="2" t="s">
        <v>57</v>
      </c>
      <c r="B20" s="2" t="s">
        <v>58</v>
      </c>
      <c r="C20" s="2" t="s">
        <v>30</v>
      </c>
      <c r="D20" s="2">
        <v>73</v>
      </c>
      <c r="E20" s="2">
        <v>75</v>
      </c>
      <c r="F20" s="2">
        <v>70</v>
      </c>
      <c r="G20" s="2">
        <v>76</v>
      </c>
      <c r="H20" s="2">
        <v>72</v>
      </c>
      <c r="I20" s="2">
        <v>65</v>
      </c>
      <c r="J20" s="2">
        <v>67</v>
      </c>
      <c r="K20" s="22">
        <f t="shared" si="0"/>
        <v>71.142857142857139</v>
      </c>
      <c r="L20">
        <f t="shared" si="1"/>
        <v>11</v>
      </c>
    </row>
    <row r="21" spans="1:12" ht="14.25">
      <c r="A21" s="2" t="s">
        <v>59</v>
      </c>
      <c r="B21" s="2" t="s">
        <v>60</v>
      </c>
      <c r="C21" s="2" t="s">
        <v>21</v>
      </c>
      <c r="D21" s="3">
        <v>55</v>
      </c>
      <c r="E21" s="2">
        <v>78</v>
      </c>
      <c r="F21" s="3">
        <v>25</v>
      </c>
      <c r="G21" s="2">
        <v>82</v>
      </c>
      <c r="H21" s="3">
        <v>22</v>
      </c>
      <c r="I21" s="2">
        <v>80</v>
      </c>
      <c r="J21" s="2">
        <v>79</v>
      </c>
      <c r="K21" s="22">
        <f t="shared" si="0"/>
        <v>60.142857142857146</v>
      </c>
      <c r="L21">
        <f t="shared" si="1"/>
        <v>29</v>
      </c>
    </row>
    <row r="22" spans="1:12" ht="14.25">
      <c r="A22" s="2" t="s">
        <v>61</v>
      </c>
      <c r="B22" s="2" t="s">
        <v>62</v>
      </c>
      <c r="C22" s="2" t="s">
        <v>18</v>
      </c>
      <c r="D22" s="2">
        <v>74</v>
      </c>
      <c r="E22" s="2">
        <v>76</v>
      </c>
      <c r="F22" s="2">
        <v>72</v>
      </c>
      <c r="G22" s="2">
        <v>78</v>
      </c>
      <c r="H22" s="2">
        <v>75</v>
      </c>
      <c r="I22" s="2">
        <v>68</v>
      </c>
      <c r="J22" s="2">
        <v>70</v>
      </c>
      <c r="K22" s="22">
        <f t="shared" si="0"/>
        <v>73.285714285714292</v>
      </c>
      <c r="L22">
        <f t="shared" si="1"/>
        <v>6</v>
      </c>
    </row>
    <row r="23" spans="1:12" ht="14.25">
      <c r="A23" s="2" t="s">
        <v>63</v>
      </c>
      <c r="B23" s="2" t="s">
        <v>64</v>
      </c>
      <c r="C23" s="2" t="s">
        <v>27</v>
      </c>
      <c r="D23" s="2">
        <v>69</v>
      </c>
      <c r="E23" s="2">
        <v>70</v>
      </c>
      <c r="F23" s="2">
        <v>68</v>
      </c>
      <c r="G23" s="2">
        <v>66</v>
      </c>
      <c r="H23" s="2">
        <v>72</v>
      </c>
      <c r="I23" s="2">
        <v>74</v>
      </c>
      <c r="J23" s="2">
        <v>81</v>
      </c>
      <c r="K23" s="22">
        <f t="shared" si="0"/>
        <v>71.428571428571431</v>
      </c>
      <c r="L23">
        <f t="shared" si="1"/>
        <v>9</v>
      </c>
    </row>
    <row r="24" spans="1:12" ht="14.25">
      <c r="A24" s="2" t="s">
        <v>65</v>
      </c>
      <c r="B24" s="2" t="s">
        <v>66</v>
      </c>
      <c r="C24" s="2" t="s">
        <v>12</v>
      </c>
      <c r="D24" s="2">
        <v>82</v>
      </c>
      <c r="E24" s="2">
        <v>79</v>
      </c>
      <c r="F24" s="2">
        <v>84</v>
      </c>
      <c r="G24" s="2">
        <v>80</v>
      </c>
      <c r="H24" s="2">
        <v>78</v>
      </c>
      <c r="I24" s="2">
        <v>72</v>
      </c>
      <c r="J24" s="2">
        <v>73</v>
      </c>
      <c r="K24" s="22">
        <f t="shared" si="0"/>
        <v>78.285714285714292</v>
      </c>
      <c r="L24">
        <f t="shared" si="1"/>
        <v>2</v>
      </c>
    </row>
    <row r="25" spans="1:12" ht="14.25">
      <c r="A25" s="2" t="s">
        <v>67</v>
      </c>
      <c r="B25" s="2" t="s">
        <v>68</v>
      </c>
      <c r="C25" s="2" t="s">
        <v>36</v>
      </c>
      <c r="D25" s="2">
        <v>70</v>
      </c>
      <c r="E25" s="2">
        <v>74</v>
      </c>
      <c r="F25" s="2">
        <v>68</v>
      </c>
      <c r="G25" s="3">
        <v>55</v>
      </c>
      <c r="H25" s="2">
        <v>75</v>
      </c>
      <c r="I25" s="2">
        <v>77</v>
      </c>
      <c r="J25" s="2">
        <v>69</v>
      </c>
      <c r="K25" s="22">
        <f t="shared" si="0"/>
        <v>69.714285714285708</v>
      </c>
      <c r="L25">
        <f t="shared" si="1"/>
        <v>14</v>
      </c>
    </row>
    <row r="26" spans="1:12" ht="14.25">
      <c r="A26" s="2" t="s">
        <v>69</v>
      </c>
      <c r="B26" s="2" t="s">
        <v>70</v>
      </c>
      <c r="C26" s="2" t="s">
        <v>21</v>
      </c>
      <c r="D26" s="3">
        <v>55</v>
      </c>
      <c r="E26" s="2">
        <v>80</v>
      </c>
      <c r="F26" s="2">
        <v>90</v>
      </c>
      <c r="G26" s="2">
        <v>78</v>
      </c>
      <c r="H26" s="2">
        <v>84</v>
      </c>
      <c r="I26" s="2">
        <v>76</v>
      </c>
      <c r="J26" s="2">
        <v>75</v>
      </c>
      <c r="K26" s="22">
        <f t="shared" si="0"/>
        <v>76.857142857142861</v>
      </c>
      <c r="L26">
        <f t="shared" si="1"/>
        <v>5</v>
      </c>
    </row>
    <row r="27" spans="1:12" ht="14.25">
      <c r="A27" s="2" t="s">
        <v>71</v>
      </c>
      <c r="B27" s="2" t="s">
        <v>72</v>
      </c>
      <c r="C27" s="2" t="s">
        <v>15</v>
      </c>
      <c r="D27" s="2">
        <v>65</v>
      </c>
      <c r="E27" s="2">
        <v>70</v>
      </c>
      <c r="F27" s="2">
        <v>60</v>
      </c>
      <c r="G27" s="2">
        <v>62</v>
      </c>
      <c r="H27" s="2">
        <v>68</v>
      </c>
      <c r="I27" s="3">
        <v>55</v>
      </c>
      <c r="J27" s="2">
        <v>64</v>
      </c>
      <c r="K27" s="22">
        <f t="shared" si="0"/>
        <v>63.428571428571431</v>
      </c>
      <c r="L27">
        <f t="shared" si="1"/>
        <v>25</v>
      </c>
    </row>
    <row r="28" spans="1:12" ht="14.25">
      <c r="A28" s="2" t="s">
        <v>73</v>
      </c>
      <c r="B28" s="2" t="s">
        <v>74</v>
      </c>
      <c r="C28" s="2" t="s">
        <v>45</v>
      </c>
      <c r="D28" s="3">
        <v>44</v>
      </c>
      <c r="E28" s="2">
        <v>66</v>
      </c>
      <c r="F28" s="2">
        <v>70</v>
      </c>
      <c r="G28" s="2">
        <v>72</v>
      </c>
      <c r="H28" s="3">
        <v>44</v>
      </c>
      <c r="I28" s="3">
        <v>55</v>
      </c>
      <c r="J28" s="2">
        <v>74</v>
      </c>
      <c r="K28" s="22">
        <f t="shared" si="0"/>
        <v>60.714285714285715</v>
      </c>
      <c r="L28">
        <f t="shared" si="1"/>
        <v>28</v>
      </c>
    </row>
    <row r="29" spans="1:12" ht="14.25">
      <c r="A29" s="2" t="s">
        <v>75</v>
      </c>
      <c r="B29" s="2" t="s">
        <v>76</v>
      </c>
      <c r="C29" s="2" t="s">
        <v>18</v>
      </c>
      <c r="D29" s="2">
        <v>75</v>
      </c>
      <c r="E29" s="2">
        <v>78</v>
      </c>
      <c r="F29" s="3">
        <v>55</v>
      </c>
      <c r="G29" s="3">
        <v>44</v>
      </c>
      <c r="H29" s="2">
        <v>77</v>
      </c>
      <c r="I29" s="2">
        <v>70</v>
      </c>
      <c r="J29" s="2">
        <v>72</v>
      </c>
      <c r="K29" s="22">
        <f t="shared" si="0"/>
        <v>67.285714285714292</v>
      </c>
      <c r="L29">
        <f t="shared" si="1"/>
        <v>19</v>
      </c>
    </row>
    <row r="30" spans="1:12" ht="14.25">
      <c r="A30" s="2" t="s">
        <v>77</v>
      </c>
      <c r="B30" s="2" t="s">
        <v>78</v>
      </c>
      <c r="C30" s="2" t="s">
        <v>33</v>
      </c>
      <c r="D30" s="2">
        <v>80</v>
      </c>
      <c r="E30" s="2">
        <v>74</v>
      </c>
      <c r="F30" s="2">
        <v>85</v>
      </c>
      <c r="G30" s="2">
        <v>78</v>
      </c>
      <c r="H30" s="2">
        <v>82</v>
      </c>
      <c r="I30" s="2">
        <v>69</v>
      </c>
      <c r="J30" s="2">
        <v>71</v>
      </c>
      <c r="K30" s="22">
        <f t="shared" si="0"/>
        <v>77</v>
      </c>
      <c r="L30">
        <f t="shared" si="1"/>
        <v>4</v>
      </c>
    </row>
    <row r="31" spans="1:12" ht="14.25">
      <c r="A31" s="2" t="s">
        <v>79</v>
      </c>
      <c r="B31" s="2" t="s">
        <v>80</v>
      </c>
      <c r="C31" s="2" t="s">
        <v>24</v>
      </c>
      <c r="D31" s="2">
        <v>72</v>
      </c>
      <c r="E31" s="2">
        <v>75</v>
      </c>
      <c r="F31" s="2">
        <v>70</v>
      </c>
      <c r="G31" s="2">
        <v>68</v>
      </c>
      <c r="H31" s="2">
        <v>73</v>
      </c>
      <c r="I31" s="2">
        <v>77</v>
      </c>
      <c r="J31" s="2">
        <v>69</v>
      </c>
      <c r="K31" s="22">
        <f t="shared" si="0"/>
        <v>72</v>
      </c>
      <c r="L31">
        <f t="shared" si="1"/>
        <v>7</v>
      </c>
    </row>
  </sheetData>
  <autoFilter ref="A1:K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71347-52E6-42C9-800F-7F2F6F64B9A6}">
  <dimension ref="A1:S30"/>
  <sheetViews>
    <sheetView zoomScale="82" zoomScaleNormal="82" workbookViewId="0">
      <selection activeCell="M26" sqref="M26"/>
    </sheetView>
  </sheetViews>
  <sheetFormatPr defaultRowHeight="12.75"/>
  <cols>
    <col min="3" max="3" width="11.7109375" bestFit="1" customWidth="1"/>
    <col min="8" max="8" width="14.5703125" bestFit="1" customWidth="1"/>
    <col min="9" max="9" width="12.140625" bestFit="1" customWidth="1"/>
    <col min="10" max="10" width="15.140625" bestFit="1" customWidth="1"/>
    <col min="11" max="11" width="13.85546875" bestFit="1" customWidth="1"/>
    <col min="12" max="12" width="14.140625" bestFit="1" customWidth="1"/>
  </cols>
  <sheetData>
    <row r="1" spans="1:19" ht="12.75" customHeight="1">
      <c r="A1" s="4" t="s">
        <v>81</v>
      </c>
      <c r="B1" s="4"/>
      <c r="C1" s="4"/>
      <c r="D1" s="4"/>
      <c r="E1" s="4"/>
      <c r="F1" s="29" t="s">
        <v>82</v>
      </c>
      <c r="G1" s="29"/>
      <c r="H1" s="29"/>
      <c r="I1" s="29"/>
      <c r="J1" s="29"/>
      <c r="K1" s="29"/>
      <c r="L1" s="29"/>
      <c r="M1" s="29"/>
      <c r="N1" s="29"/>
      <c r="O1" s="5"/>
      <c r="P1" s="5"/>
      <c r="Q1" s="4"/>
      <c r="R1" s="4"/>
      <c r="S1" s="4"/>
    </row>
    <row r="2" spans="1:19" ht="12.75" customHeight="1">
      <c r="A2" s="4"/>
      <c r="B2" s="4"/>
      <c r="C2" s="4"/>
      <c r="D2" s="4"/>
      <c r="E2" s="4"/>
      <c r="F2" s="29"/>
      <c r="G2" s="29"/>
      <c r="H2" s="29"/>
      <c r="I2" s="29"/>
      <c r="J2" s="29"/>
      <c r="K2" s="29"/>
      <c r="L2" s="29"/>
      <c r="M2" s="29"/>
      <c r="N2" s="29"/>
      <c r="O2" s="5"/>
      <c r="P2" s="5"/>
      <c r="Q2" s="4"/>
      <c r="R2" s="4"/>
      <c r="S2" s="4"/>
    </row>
    <row r="3" spans="1:19" ht="12.75" customHeight="1">
      <c r="A3" s="4"/>
      <c r="B3" s="4"/>
      <c r="C3" s="4"/>
      <c r="D3" s="4"/>
      <c r="E3" s="4"/>
      <c r="F3" s="29"/>
      <c r="G3" s="29"/>
      <c r="H3" s="29"/>
      <c r="I3" s="29"/>
      <c r="J3" s="29"/>
      <c r="K3" s="29"/>
      <c r="L3" s="29"/>
      <c r="M3" s="29"/>
      <c r="N3" s="29"/>
      <c r="O3" s="5"/>
      <c r="P3" s="5"/>
      <c r="Q3" s="4"/>
      <c r="R3" s="4"/>
      <c r="S3" s="4"/>
    </row>
    <row r="4" spans="1:19" ht="12.75" customHeight="1">
      <c r="A4" s="4"/>
      <c r="B4" s="4"/>
      <c r="C4" s="4"/>
      <c r="D4" s="4"/>
      <c r="E4" s="4"/>
      <c r="F4" s="29"/>
      <c r="G4" s="29"/>
      <c r="H4" s="29"/>
      <c r="I4" s="29"/>
      <c r="J4" s="29"/>
      <c r="K4" s="29"/>
      <c r="L4" s="29"/>
      <c r="M4" s="29"/>
      <c r="N4" s="29"/>
      <c r="O4" s="5"/>
      <c r="P4" s="5"/>
      <c r="Q4" s="4"/>
      <c r="R4" s="4"/>
      <c r="S4" s="4"/>
    </row>
    <row r="5" spans="1:19" ht="12.75" customHeight="1">
      <c r="A5" s="4"/>
      <c r="B5" s="4"/>
      <c r="C5" s="4"/>
      <c r="D5" s="4"/>
      <c r="E5" s="4"/>
      <c r="F5" s="29"/>
      <c r="G5" s="29"/>
      <c r="H5" s="29"/>
      <c r="I5" s="29"/>
      <c r="J5" s="29"/>
      <c r="K5" s="29"/>
      <c r="L5" s="29"/>
      <c r="M5" s="29"/>
      <c r="N5" s="29"/>
      <c r="O5" s="5"/>
      <c r="P5" s="5"/>
      <c r="Q5" s="4"/>
      <c r="R5" s="4"/>
      <c r="S5" s="4"/>
    </row>
    <row r="6" spans="1:19" ht="12.75" customHeight="1">
      <c r="A6" s="4"/>
      <c r="B6" s="4"/>
      <c r="C6" s="4"/>
      <c r="D6" s="4"/>
      <c r="E6" s="4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4"/>
      <c r="R6" s="4"/>
      <c r="S6" s="4"/>
    </row>
    <row r="7" spans="1:19" ht="12.75" customHeight="1">
      <c r="A7" s="4"/>
      <c r="B7" s="4"/>
      <c r="C7" s="4"/>
      <c r="D7" s="4"/>
      <c r="E7" s="4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4"/>
      <c r="R7" s="4"/>
      <c r="S7" s="4"/>
    </row>
    <row r="8" spans="1:19">
      <c r="A8" s="4"/>
      <c r="B8" s="4"/>
      <c r="C8" s="4"/>
      <c r="D8" s="4"/>
      <c r="E8" s="4"/>
      <c r="F8" s="4"/>
      <c r="G8" s="4"/>
      <c r="H8" s="4"/>
      <c r="I8" s="4"/>
      <c r="J8" s="6"/>
      <c r="K8" s="6"/>
      <c r="L8" s="6"/>
      <c r="M8" s="4"/>
      <c r="N8" s="4"/>
      <c r="O8" s="4"/>
      <c r="P8" s="4"/>
      <c r="Q8" s="4"/>
      <c r="R8" s="4"/>
      <c r="S8" s="4"/>
    </row>
    <row r="9" spans="1:1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19">
      <c r="A10" s="4"/>
      <c r="B10" s="4"/>
      <c r="C10" s="4" t="s">
        <v>0</v>
      </c>
      <c r="D10" s="6" t="s">
        <v>69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>
      <c r="A11" s="4"/>
      <c r="B11" s="4"/>
      <c r="C11" s="4" t="s">
        <v>1</v>
      </c>
      <c r="D11" s="6" t="str">
        <f>VLOOKUP('Report Card'!D10,Database!$A$1:$J$31,2,0)</f>
        <v>Paul Johnson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19">
      <c r="A12" s="4"/>
      <c r="B12" s="4"/>
      <c r="C12" s="4" t="s">
        <v>2</v>
      </c>
      <c r="D12" s="6" t="str">
        <f>VLOOKUP('Report Card'!D10,Database!$A$1:$J$31,3,0)</f>
        <v>Engineering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1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19">
      <c r="A14" s="4"/>
      <c r="B14" s="4"/>
      <c r="C14" s="4"/>
      <c r="D14" s="4"/>
      <c r="E14" s="4"/>
      <c r="F14" s="4"/>
      <c r="G14" s="13" t="s">
        <v>83</v>
      </c>
      <c r="H14" s="13" t="s">
        <v>88</v>
      </c>
      <c r="I14" s="13" t="s">
        <v>84</v>
      </c>
      <c r="J14" s="13" t="s">
        <v>85</v>
      </c>
      <c r="K14" s="13" t="s">
        <v>86</v>
      </c>
      <c r="L14" s="13" t="s">
        <v>87</v>
      </c>
      <c r="M14" s="4"/>
      <c r="N14" s="4"/>
      <c r="O14" s="4"/>
      <c r="P14" s="4"/>
      <c r="Q14" s="4"/>
      <c r="R14" s="4"/>
      <c r="S14" s="4"/>
    </row>
    <row r="15" spans="1:19">
      <c r="A15" s="4"/>
      <c r="B15" s="4"/>
      <c r="C15" s="4"/>
      <c r="D15" s="4"/>
      <c r="E15" s="4"/>
      <c r="F15" s="4"/>
      <c r="G15" s="7" t="s">
        <v>3</v>
      </c>
      <c r="H15" s="8">
        <v>100</v>
      </c>
      <c r="I15" s="9">
        <v>50</v>
      </c>
      <c r="J15" s="8">
        <f>VLOOKUP(D10,Database!$A$1:$J$31,4,0)</f>
        <v>55</v>
      </c>
      <c r="K15" s="10">
        <f>J15/H15</f>
        <v>0.55000000000000004</v>
      </c>
      <c r="L15" s="7" t="b">
        <f>'Report Sheet'!F15=IF(J15&gt;=85,"EXECLLENT",IF(J15&gt;=70,"VERY GOOD",IF(J15&gt;=60,"GOOD",IF(J15&gt;=50,"PASS",IF(J15&gt;=45,"FAIL")))))</f>
        <v>0</v>
      </c>
      <c r="M15" s="4"/>
      <c r="N15" s="4"/>
      <c r="O15" s="4"/>
      <c r="P15" s="4"/>
      <c r="Q15" s="4"/>
      <c r="R15" s="4"/>
      <c r="S15" s="4"/>
    </row>
    <row r="16" spans="1:19">
      <c r="A16" s="4"/>
      <c r="B16" s="4"/>
      <c r="C16" s="4"/>
      <c r="D16" s="4"/>
      <c r="E16" s="4"/>
      <c r="F16" s="4"/>
      <c r="G16" s="7" t="s">
        <v>4</v>
      </c>
      <c r="H16" s="8">
        <v>100</v>
      </c>
      <c r="I16" s="9">
        <v>50</v>
      </c>
      <c r="J16" s="8">
        <f>VLOOKUP(D10,Database!$A$1:$J$31,5,0)</f>
        <v>80</v>
      </c>
      <c r="K16" s="10">
        <f t="shared" ref="K16:K21" si="0">J16/H16</f>
        <v>0.8</v>
      </c>
      <c r="L16" s="7" t="str">
        <f t="shared" ref="L16:L21" si="1">IF(J16&gt;=85,"EXECLLENT",IF(J16&gt;=70,"VERY GOOD",IF(J16&gt;=60,"GOOD",IF(J16&gt;=50,"PASS",IF(J16&gt;=45,"FAIL")))))</f>
        <v>VERY GOOD</v>
      </c>
      <c r="M16" s="4"/>
      <c r="N16" s="4"/>
      <c r="O16" s="4"/>
      <c r="P16" s="4"/>
      <c r="Q16" s="4"/>
      <c r="R16" s="4"/>
      <c r="S16" s="4"/>
    </row>
    <row r="17" spans="1:19">
      <c r="A17" s="4"/>
      <c r="B17" s="4"/>
      <c r="C17" s="4"/>
      <c r="D17" s="4"/>
      <c r="E17" s="4"/>
      <c r="F17" s="4"/>
      <c r="G17" s="7" t="s">
        <v>5</v>
      </c>
      <c r="H17" s="8">
        <v>100</v>
      </c>
      <c r="I17" s="9">
        <v>50</v>
      </c>
      <c r="J17" s="8">
        <f>VLOOKUP(D10,Database!$A$1:$J$31,6,0)</f>
        <v>90</v>
      </c>
      <c r="K17" s="10">
        <f t="shared" si="0"/>
        <v>0.9</v>
      </c>
      <c r="L17" s="7" t="str">
        <f t="shared" si="1"/>
        <v>EXECLLENT</v>
      </c>
      <c r="M17" s="4"/>
      <c r="N17" s="4"/>
      <c r="O17" s="4"/>
      <c r="P17" s="4"/>
      <c r="Q17" s="4"/>
      <c r="R17" s="4"/>
      <c r="S17" s="4"/>
    </row>
    <row r="18" spans="1:19">
      <c r="A18" s="4"/>
      <c r="B18" s="4"/>
      <c r="C18" s="4"/>
      <c r="D18" s="4"/>
      <c r="E18" s="4"/>
      <c r="F18" s="4"/>
      <c r="G18" s="7" t="s">
        <v>6</v>
      </c>
      <c r="H18" s="8">
        <v>100</v>
      </c>
      <c r="I18" s="9">
        <v>50</v>
      </c>
      <c r="J18" s="8">
        <f>VLOOKUP(D10,Database!$A$1:$J$31,7,0)</f>
        <v>78</v>
      </c>
      <c r="K18" s="10">
        <f t="shared" si="0"/>
        <v>0.78</v>
      </c>
      <c r="L18" s="7" t="str">
        <f t="shared" si="1"/>
        <v>VERY GOOD</v>
      </c>
      <c r="M18" s="4"/>
      <c r="N18" s="4"/>
      <c r="O18" s="4"/>
      <c r="P18" s="4"/>
      <c r="Q18" s="4"/>
      <c r="R18" s="4"/>
      <c r="S18" s="4"/>
    </row>
    <row r="19" spans="1:19">
      <c r="A19" s="4"/>
      <c r="B19" s="4"/>
      <c r="C19" s="4"/>
      <c r="D19" s="4"/>
      <c r="E19" s="4"/>
      <c r="F19" s="4"/>
      <c r="G19" s="7" t="s">
        <v>7</v>
      </c>
      <c r="H19" s="8">
        <v>100</v>
      </c>
      <c r="I19" s="9">
        <v>50</v>
      </c>
      <c r="J19" s="8">
        <f>VLOOKUP(D10,Database!$A$1:$J$31,8,0)</f>
        <v>84</v>
      </c>
      <c r="K19" s="10">
        <f t="shared" si="0"/>
        <v>0.84</v>
      </c>
      <c r="L19" s="7" t="str">
        <f t="shared" si="1"/>
        <v>VERY GOOD</v>
      </c>
      <c r="M19" s="4"/>
      <c r="N19" s="4"/>
      <c r="O19" s="4"/>
      <c r="P19" s="4"/>
      <c r="Q19" s="4"/>
      <c r="R19" s="4"/>
      <c r="S19" s="4"/>
    </row>
    <row r="20" spans="1:19">
      <c r="A20" s="4"/>
      <c r="B20" s="4"/>
      <c r="C20" s="4"/>
      <c r="D20" s="4"/>
      <c r="E20" s="4"/>
      <c r="F20" s="4"/>
      <c r="G20" s="7" t="s">
        <v>8</v>
      </c>
      <c r="H20" s="8">
        <v>100</v>
      </c>
      <c r="I20" s="9">
        <v>50</v>
      </c>
      <c r="J20" s="8">
        <f>VLOOKUP(D10,Database!$A$1:$J$31,9,0)</f>
        <v>76</v>
      </c>
      <c r="K20" s="10">
        <f t="shared" si="0"/>
        <v>0.76</v>
      </c>
      <c r="L20" s="7" t="str">
        <f t="shared" si="1"/>
        <v>VERY GOOD</v>
      </c>
      <c r="M20" s="4"/>
      <c r="N20" s="4"/>
      <c r="O20" s="4"/>
      <c r="P20" s="4"/>
      <c r="Q20" s="4"/>
      <c r="R20" s="4"/>
      <c r="S20" s="4"/>
    </row>
    <row r="21" spans="1:19">
      <c r="A21" s="4"/>
      <c r="B21" s="4"/>
      <c r="C21" s="4"/>
      <c r="D21" s="4"/>
      <c r="E21" s="4"/>
      <c r="F21" s="4"/>
      <c r="G21" s="7" t="s">
        <v>9</v>
      </c>
      <c r="H21" s="8">
        <v>100</v>
      </c>
      <c r="I21" s="9">
        <v>50</v>
      </c>
      <c r="J21" s="8">
        <f>VLOOKUP(D10,Database!$A$1:$J$31,10,0)</f>
        <v>75</v>
      </c>
      <c r="K21" s="10">
        <f t="shared" si="0"/>
        <v>0.75</v>
      </c>
      <c r="L21" s="7" t="str">
        <f t="shared" si="1"/>
        <v>VERY GOOD</v>
      </c>
      <c r="M21" s="4"/>
      <c r="N21" s="4"/>
      <c r="O21" s="4"/>
      <c r="P21" s="4"/>
      <c r="Q21" s="4"/>
      <c r="R21" s="4"/>
      <c r="S21" s="4"/>
    </row>
    <row r="22" spans="1:19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1:19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11" t="s">
        <v>88</v>
      </c>
      <c r="M23" s="7">
        <f>SUM(H15:H21)</f>
        <v>700</v>
      </c>
      <c r="N23" s="4"/>
      <c r="O23" s="4"/>
      <c r="P23" s="4"/>
      <c r="Q23" s="4"/>
      <c r="R23" s="4"/>
      <c r="S23" s="4"/>
    </row>
    <row r="24" spans="1:19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11" t="s">
        <v>85</v>
      </c>
      <c r="M24" s="7">
        <f>SUM(J15:J21)</f>
        <v>538</v>
      </c>
      <c r="N24" s="4"/>
      <c r="O24" s="4"/>
      <c r="P24" s="4"/>
      <c r="Q24" s="4"/>
      <c r="R24" s="4"/>
      <c r="S24" s="4"/>
    </row>
    <row r="25" spans="1:19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11" t="s">
        <v>86</v>
      </c>
      <c r="M25" s="10">
        <f>M24/700</f>
        <v>0.76857142857142857</v>
      </c>
      <c r="N25" s="4"/>
      <c r="O25" s="4"/>
      <c r="P25" s="4"/>
      <c r="Q25" s="4"/>
      <c r="R25" s="4"/>
      <c r="S25" s="4"/>
    </row>
    <row r="26" spans="1:19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12"/>
      <c r="N26" s="4"/>
      <c r="O26" s="4"/>
      <c r="P26" s="4"/>
      <c r="Q26" s="4"/>
      <c r="R26" s="4"/>
      <c r="S26" s="4"/>
    </row>
    <row r="27" spans="1:19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spans="1:19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spans="1:1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spans="1:19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</sheetData>
  <mergeCells count="1">
    <mergeCell ref="F1:N5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A109D74-FB7A-4F52-9FFD-EFB546F35DEE}">
          <x14:formula1>
            <xm:f>Database!$A$2:$A$31</xm:f>
          </x14:formula1>
          <xm:sqref>D10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47F12-711B-4C9E-9823-08C529AD1C0A}">
  <dimension ref="A1:J30"/>
  <sheetViews>
    <sheetView tabSelected="1" zoomScale="78" zoomScaleNormal="78" workbookViewId="0">
      <selection activeCell="R7" sqref="R7"/>
    </sheetView>
  </sheetViews>
  <sheetFormatPr defaultRowHeight="12.75"/>
  <cols>
    <col min="1" max="1" width="12.85546875" customWidth="1"/>
    <col min="2" max="2" width="15.140625" bestFit="1" customWidth="1"/>
    <col min="3" max="3" width="12.7109375" bestFit="1" customWidth="1"/>
    <col min="4" max="4" width="15.140625" bestFit="1" customWidth="1"/>
    <col min="5" max="5" width="9" bestFit="1" customWidth="1"/>
    <col min="6" max="6" width="12.28515625" bestFit="1" customWidth="1"/>
  </cols>
  <sheetData>
    <row r="1" spans="1:10">
      <c r="A1" s="14"/>
      <c r="B1" s="14"/>
      <c r="C1" s="30" t="s">
        <v>82</v>
      </c>
      <c r="D1" s="31"/>
      <c r="E1" s="31"/>
      <c r="F1" s="31"/>
      <c r="G1" s="31"/>
      <c r="H1" s="14"/>
      <c r="I1" s="14"/>
      <c r="J1" s="14"/>
    </row>
    <row r="2" spans="1:10">
      <c r="A2" s="14"/>
      <c r="B2" s="14"/>
      <c r="C2" s="31"/>
      <c r="D2" s="31"/>
      <c r="E2" s="31"/>
      <c r="F2" s="31"/>
      <c r="G2" s="31"/>
      <c r="H2" s="14"/>
      <c r="I2" s="14"/>
      <c r="J2" s="14"/>
    </row>
    <row r="3" spans="1:10">
      <c r="A3" s="14"/>
      <c r="B3" s="14"/>
      <c r="C3" s="31"/>
      <c r="D3" s="31"/>
      <c r="E3" s="31"/>
      <c r="F3" s="31"/>
      <c r="G3" s="31"/>
      <c r="H3" s="14"/>
      <c r="I3" s="14"/>
      <c r="J3" s="14"/>
    </row>
    <row r="4" spans="1:10">
      <c r="A4" s="14"/>
      <c r="B4" s="14"/>
      <c r="C4" s="14"/>
      <c r="D4" s="14"/>
      <c r="E4" s="14"/>
      <c r="F4" s="14"/>
      <c r="G4" s="14"/>
      <c r="H4" s="14"/>
      <c r="I4" s="14"/>
      <c r="J4" s="14"/>
    </row>
    <row r="5" spans="1:10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0">
      <c r="A6" s="14"/>
      <c r="B6" s="14"/>
      <c r="C6" s="14"/>
      <c r="D6" s="14"/>
      <c r="E6" s="14"/>
      <c r="F6" s="14"/>
      <c r="G6" s="14"/>
      <c r="H6" s="14"/>
      <c r="I6" s="14"/>
      <c r="J6" s="14"/>
    </row>
    <row r="7" spans="1:10">
      <c r="A7" s="15" t="s">
        <v>92</v>
      </c>
      <c r="B7" s="15" t="s">
        <v>75</v>
      </c>
      <c r="C7" s="14"/>
      <c r="D7" s="14"/>
      <c r="E7" s="14"/>
      <c r="F7" s="14"/>
      <c r="G7" s="14"/>
      <c r="H7" s="14"/>
      <c r="I7" s="14"/>
      <c r="J7" s="14"/>
    </row>
    <row r="8" spans="1:10">
      <c r="A8" s="15" t="s">
        <v>93</v>
      </c>
      <c r="B8" s="15" t="str">
        <f>VLOOKUP(B7,Database!A1:B31,2,0)</f>
        <v>Rachel Danjuma</v>
      </c>
      <c r="C8" s="14"/>
      <c r="D8" s="14"/>
      <c r="E8" s="14"/>
      <c r="F8" s="14"/>
      <c r="G8" s="14"/>
      <c r="H8" s="14"/>
      <c r="I8" s="14"/>
      <c r="J8" s="14"/>
    </row>
    <row r="9" spans="1:10">
      <c r="A9" s="15" t="s">
        <v>94</v>
      </c>
      <c r="B9" s="15" t="str">
        <f>VLOOKUP(B7,Database!A1:C31,3,0)</f>
        <v>Biology</v>
      </c>
      <c r="C9" s="14"/>
      <c r="D9" s="14"/>
      <c r="E9" s="14"/>
      <c r="F9" s="14"/>
      <c r="G9" s="14"/>
      <c r="H9" s="14"/>
      <c r="I9" s="14"/>
      <c r="J9" s="14"/>
    </row>
    <row r="10" spans="1:10">
      <c r="A10" s="14"/>
      <c r="B10" s="14"/>
      <c r="C10" s="16"/>
      <c r="D10" s="14"/>
      <c r="E10" s="14"/>
      <c r="F10" s="14"/>
      <c r="G10" s="14"/>
      <c r="H10" s="14"/>
      <c r="I10" s="14"/>
      <c r="J10" s="14"/>
    </row>
    <row r="11" spans="1:10">
      <c r="A11" s="14"/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4"/>
      <c r="G12" s="14"/>
      <c r="H12" s="14"/>
      <c r="I12" s="14"/>
      <c r="J12" s="14"/>
    </row>
    <row r="13" spans="1:10">
      <c r="A13" s="14"/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/>
      <c r="B14" s="17" t="s">
        <v>83</v>
      </c>
      <c r="C14" s="17" t="s">
        <v>89</v>
      </c>
      <c r="D14" s="17" t="s">
        <v>85</v>
      </c>
      <c r="E14" s="17" t="s">
        <v>86</v>
      </c>
      <c r="F14" s="17" t="s">
        <v>87</v>
      </c>
      <c r="G14" s="17"/>
      <c r="H14" s="14"/>
      <c r="I14" s="14"/>
      <c r="J14" s="14"/>
    </row>
    <row r="15" spans="1:10">
      <c r="A15" s="14"/>
      <c r="B15" s="17" t="s">
        <v>3</v>
      </c>
      <c r="C15" s="20">
        <v>100</v>
      </c>
      <c r="D15" s="17">
        <f>VLOOKUP(B7,dta,4,0)</f>
        <v>75</v>
      </c>
      <c r="E15" s="21">
        <f>D15/C15</f>
        <v>0.75</v>
      </c>
      <c r="F15" s="17" t="str">
        <f>_xlfn.IFS(D15&gt;=80,"EXCELLENT",D15&gt;=65,"VERY GOOD",D15&gt;=55,"GOOD",D15&gt;=45,"PASS",TRUE,"FAIL")</f>
        <v>VERY GOOD</v>
      </c>
      <c r="G15" s="17"/>
      <c r="H15" s="14"/>
      <c r="I15" s="14"/>
      <c r="J15" s="14"/>
    </row>
    <row r="16" spans="1:10">
      <c r="A16" s="14"/>
      <c r="B16" s="17" t="s">
        <v>4</v>
      </c>
      <c r="C16" s="19">
        <v>100</v>
      </c>
      <c r="D16" s="17">
        <f>VLOOKUP(B7,dta,5,0)</f>
        <v>78</v>
      </c>
      <c r="E16" s="21">
        <f t="shared" ref="E16:E21" si="0">D16/C16</f>
        <v>0.78</v>
      </c>
      <c r="F16" s="17" t="str">
        <f t="shared" ref="F16:F21" si="1">_xlfn.IFS(D16&gt;=80,"EXCELLENT",D16&gt;=65,"VERY GOOD",D16&gt;=55,"GOOD",D16&gt;=45,"PASS",TRUE,"FAIL")</f>
        <v>VERY GOOD</v>
      </c>
      <c r="G16" s="17"/>
      <c r="H16" s="14"/>
      <c r="I16" s="14"/>
      <c r="J16" s="14"/>
    </row>
    <row r="17" spans="1:10">
      <c r="A17" s="14"/>
      <c r="B17" s="18" t="s">
        <v>5</v>
      </c>
      <c r="C17" s="19">
        <v>100</v>
      </c>
      <c r="D17" s="17">
        <f>VLOOKUP(B7,dta,6,0)</f>
        <v>55</v>
      </c>
      <c r="E17" s="21">
        <f t="shared" si="0"/>
        <v>0.55000000000000004</v>
      </c>
      <c r="F17" s="17" t="str">
        <f t="shared" si="1"/>
        <v>GOOD</v>
      </c>
      <c r="G17" s="17"/>
      <c r="H17" s="14"/>
      <c r="I17" s="14"/>
      <c r="J17" s="14"/>
    </row>
    <row r="18" spans="1:10">
      <c r="A18" s="14"/>
      <c r="B18" s="18" t="s">
        <v>6</v>
      </c>
      <c r="C18" s="19">
        <v>100</v>
      </c>
      <c r="D18" s="17">
        <f>VLOOKUP(B7,dta,7,0)</f>
        <v>44</v>
      </c>
      <c r="E18" s="21">
        <f t="shared" si="0"/>
        <v>0.44</v>
      </c>
      <c r="F18" s="17" t="str">
        <f t="shared" si="1"/>
        <v>FAIL</v>
      </c>
      <c r="G18" s="17"/>
      <c r="H18" s="14"/>
      <c r="I18" s="14"/>
      <c r="J18" s="14"/>
    </row>
    <row r="19" spans="1:10">
      <c r="A19" s="14"/>
      <c r="B19" s="18" t="s">
        <v>7</v>
      </c>
      <c r="C19" s="19">
        <v>100</v>
      </c>
      <c r="D19" s="17">
        <f>VLOOKUP(B7,dta,8,0)</f>
        <v>77</v>
      </c>
      <c r="E19" s="21">
        <f t="shared" si="0"/>
        <v>0.77</v>
      </c>
      <c r="F19" s="17" t="str">
        <f t="shared" si="1"/>
        <v>VERY GOOD</v>
      </c>
      <c r="G19" s="17"/>
      <c r="H19" s="14"/>
      <c r="I19" s="14"/>
      <c r="J19" s="14"/>
    </row>
    <row r="20" spans="1:10">
      <c r="A20" s="14"/>
      <c r="B20" s="18" t="s">
        <v>8</v>
      </c>
      <c r="C20" s="19">
        <v>100</v>
      </c>
      <c r="D20" s="17">
        <f>VLOOKUP(B7,dta,9,0)</f>
        <v>70</v>
      </c>
      <c r="E20" s="21">
        <f t="shared" si="0"/>
        <v>0.7</v>
      </c>
      <c r="F20" s="17" t="str">
        <f t="shared" si="1"/>
        <v>VERY GOOD</v>
      </c>
      <c r="G20" s="17"/>
      <c r="H20" s="14"/>
      <c r="I20" s="14"/>
      <c r="J20" s="14"/>
    </row>
    <row r="21" spans="1:10">
      <c r="A21" s="14"/>
      <c r="B21" s="18" t="s">
        <v>9</v>
      </c>
      <c r="C21" s="19">
        <v>100</v>
      </c>
      <c r="D21" s="17">
        <f>VLOOKUP(B7,dta,10,0)</f>
        <v>72</v>
      </c>
      <c r="E21" s="21">
        <f t="shared" si="0"/>
        <v>0.72</v>
      </c>
      <c r="F21" s="17" t="str">
        <f t="shared" si="1"/>
        <v>VERY GOOD</v>
      </c>
      <c r="G21" s="17"/>
      <c r="H21" s="14"/>
      <c r="I21" s="14"/>
      <c r="J21" s="14"/>
    </row>
    <row r="22" spans="1:10">
      <c r="A22" s="14"/>
      <c r="B22" s="14"/>
      <c r="C22" s="14"/>
      <c r="D22" s="14"/>
      <c r="E22" s="17"/>
      <c r="F22" s="14"/>
      <c r="G22" s="14"/>
      <c r="H22" s="14"/>
      <c r="I22" s="14"/>
      <c r="J22" s="14"/>
    </row>
    <row r="23" spans="1:10">
      <c r="A23" s="14"/>
      <c r="B23" s="14"/>
      <c r="C23" s="14"/>
      <c r="D23" s="14"/>
      <c r="E23" s="14"/>
      <c r="F23" s="14"/>
      <c r="G23" s="14"/>
      <c r="H23" s="14"/>
      <c r="I23" s="14"/>
      <c r="J23" s="14"/>
    </row>
    <row r="24" spans="1:10">
      <c r="A24" s="14"/>
      <c r="B24" s="17" t="s">
        <v>88</v>
      </c>
      <c r="C24" s="17">
        <f>SUM(C15:C21)</f>
        <v>700</v>
      </c>
      <c r="D24" s="14"/>
      <c r="E24" s="14"/>
      <c r="F24" s="14"/>
      <c r="G24" s="14"/>
      <c r="H24" s="14"/>
      <c r="I24" s="14"/>
      <c r="J24" s="14"/>
    </row>
    <row r="25" spans="1:10">
      <c r="A25" s="14"/>
      <c r="B25" s="17" t="s">
        <v>85</v>
      </c>
      <c r="C25" s="24">
        <f>SUM(D15:D21)</f>
        <v>471</v>
      </c>
      <c r="D25" s="14"/>
      <c r="E25" s="14"/>
      <c r="F25" s="14"/>
      <c r="G25" s="14"/>
      <c r="H25" s="14"/>
      <c r="I25" s="14"/>
      <c r="J25" s="14"/>
    </row>
    <row r="26" spans="1:10">
      <c r="A26" s="14"/>
      <c r="B26" s="17" t="s">
        <v>86</v>
      </c>
      <c r="C26" s="23">
        <f>D15/C15</f>
        <v>0.75</v>
      </c>
      <c r="D26" s="14"/>
      <c r="E26" s="14"/>
      <c r="F26" s="14"/>
      <c r="G26" s="14"/>
      <c r="H26" s="14"/>
      <c r="I26" s="14"/>
      <c r="J26" s="14"/>
    </row>
    <row r="27" spans="1:10">
      <c r="A27" s="14"/>
      <c r="B27" s="14"/>
      <c r="C27" s="25"/>
      <c r="D27" s="14"/>
      <c r="E27" s="14"/>
      <c r="F27" s="14"/>
      <c r="G27" s="14"/>
      <c r="H27" s="14"/>
      <c r="I27" s="14"/>
      <c r="J27" s="14"/>
    </row>
    <row r="28" spans="1:10">
      <c r="A28" s="14"/>
      <c r="B28" s="14"/>
      <c r="C28" s="14"/>
      <c r="D28" s="14"/>
      <c r="E28" s="26" t="s">
        <v>95</v>
      </c>
      <c r="F28" s="14"/>
      <c r="G28" s="27"/>
      <c r="H28" s="27"/>
      <c r="I28" s="14"/>
      <c r="J28" s="14"/>
    </row>
    <row r="29" spans="1:10">
      <c r="A29" s="14"/>
      <c r="B29" s="14"/>
      <c r="C29" s="14"/>
      <c r="D29" s="14"/>
      <c r="E29" s="28" t="s">
        <v>96</v>
      </c>
      <c r="F29" s="27"/>
      <c r="G29" s="27"/>
      <c r="H29" s="27"/>
      <c r="I29" s="14"/>
      <c r="J29" s="14"/>
    </row>
    <row r="30" spans="1:10">
      <c r="A30" s="14"/>
      <c r="B30" s="14"/>
      <c r="C30" s="14"/>
      <c r="D30" s="14"/>
      <c r="E30" s="14"/>
      <c r="F30" s="14"/>
      <c r="G30" s="14"/>
      <c r="H30" s="14"/>
      <c r="I30" s="14"/>
      <c r="J30" s="14"/>
    </row>
  </sheetData>
  <mergeCells count="1">
    <mergeCell ref="C1:G3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95D361D-FCE2-4385-A5E8-5ACB3EC179A3}">
          <x14:formula1>
            <xm:f>Database!$A$1:$A$31</xm:f>
          </x14:formula1>
          <xm:sqref>B7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6D39A355080C45AB74C82FF1E3E82A" ma:contentTypeVersion="7" ma:contentTypeDescription="Create a new document." ma:contentTypeScope="" ma:versionID="2dad8da38e69b64d21c305678dae0be7">
  <xsd:schema xmlns:xsd="http://www.w3.org/2001/XMLSchema" xmlns:xs="http://www.w3.org/2001/XMLSchema" xmlns:p="http://schemas.microsoft.com/office/2006/metadata/properties" xmlns:ns2="6e0a9b9c-4ed8-4e9f-8162-c5b27aabdd60" targetNamespace="http://schemas.microsoft.com/office/2006/metadata/properties" ma:root="true" ma:fieldsID="be9a6167c0c2a6724675cfc81f59e3cf" ns2:_="">
    <xsd:import namespace="6e0a9b9c-4ed8-4e9f-8162-c5b27aabdd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0a9b9c-4ed8-4e9f-8162-c5b27aabdd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310749-3EFE-4291-B98E-B2C89E47D4C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66154E7-A51F-4A14-BCBF-5616579110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821F9B-B1E0-40B8-A79F-B7E2377391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0a9b9c-4ed8-4e9f-8162-c5b27aabdd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Database</vt:lpstr>
      <vt:lpstr>Report Card</vt:lpstr>
      <vt:lpstr>Report Sheet</vt:lpstr>
      <vt:lpstr>dta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halymarh</dc:creator>
  <cp:lastModifiedBy>haleemah jibril</cp:lastModifiedBy>
  <cp:lastPrinted>2026-05-12T20:25:40Z</cp:lastPrinted>
  <dcterms:created xsi:type="dcterms:W3CDTF">2026-05-09T13:09:12Z</dcterms:created>
  <dcterms:modified xsi:type="dcterms:W3CDTF">2026-05-12T21:16:41Z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0x010100F86D39A355080C45AB74C82FF1E3E82A</vt:lpwstr>
  </property>
</Properties>
</file>