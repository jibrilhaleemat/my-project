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8882F14-D1F3-4B30-BF25-CBA526EA3982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Database" sheetId="1" r:id="rId1"/>
    <sheet name="Report Card" sheetId="3" r:id="rId2"/>
    <sheet name="Sheet1" sheetId="4" r:id="rId3"/>
  </sheets>
  <definedNames>
    <definedName name="_xlnm._FilterDatabase" localSheetId="0" hidden="1">Database!$A$1:$J$31</definedName>
    <definedName name="dta">Database!$A$1:$J$31</definedName>
  </definedNames>
  <calcPr calcId="191029"/>
</workbook>
</file>

<file path=xl/calcChain.xml><?xml version="1.0" encoding="utf-8"?>
<calcChain xmlns="http://schemas.openxmlformats.org/spreadsheetml/2006/main">
  <c r="F16" i="4" l="1"/>
  <c r="F17" i="4"/>
  <c r="F18" i="4"/>
  <c r="F19" i="4"/>
  <c r="F20" i="4"/>
  <c r="F21" i="4"/>
  <c r="F15" i="4"/>
  <c r="L15" i="3" s="1"/>
  <c r="D15" i="4"/>
  <c r="E15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B9" i="4"/>
  <c r="B8" i="4"/>
  <c r="M23" i="3"/>
  <c r="J16" i="3"/>
  <c r="L16" i="3" s="1"/>
  <c r="J17" i="3"/>
  <c r="K17" i="3" s="1"/>
  <c r="J18" i="3"/>
  <c r="K18" i="3" s="1"/>
  <c r="J19" i="3"/>
  <c r="K19" i="3" s="1"/>
  <c r="J20" i="3"/>
  <c r="L20" i="3" s="1"/>
  <c r="J21" i="3"/>
  <c r="K21" i="3" s="1"/>
  <c r="J15" i="3"/>
  <c r="K15" i="3" s="1"/>
  <c r="D12" i="3"/>
  <c r="D11" i="3"/>
  <c r="M24" i="3" l="1"/>
  <c r="M25" i="3" s="1"/>
  <c r="L18" i="3"/>
  <c r="L21" i="3"/>
  <c r="L17" i="3"/>
  <c r="L19" i="3"/>
  <c r="K20" i="3"/>
  <c r="K16" i="3"/>
</calcChain>
</file>

<file path=xl/sharedStrings.xml><?xml version="1.0" encoding="utf-8"?>
<sst xmlns="http://schemas.openxmlformats.org/spreadsheetml/2006/main" count="140" uniqueCount="91">
  <si>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</si>
  <si>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</si>
  <si>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</si>
  <si>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</si>
  <si>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</si>
  <si>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</si>
  <si>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</si>
  <si>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</si>
  <si>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</si>
  <si>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</si>
  <si>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</si>
  <si>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</si>
  <si>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</si>
  <si>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</si>
  <si>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</si>
  <si>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</si>
  <si>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</si>
  <si>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</si>
  <si>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</si>
  <si>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</si>
  <si>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</si>
  <si>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</si>
  <si>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</si>
  <si>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</si>
  <si>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</si>
  <si>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</si>
  <si>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</si>
  <si>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</si>
  <si>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</si>
  <si>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</si>
  <si>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</si>
  <si>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</si>
  <si>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</si>
  <si>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</si>
  <si>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</si>
  <si>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</si>
  <si>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</si>
  <si>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</si>
  <si>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</si>
  <si>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</si>
  <si>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</si>
  <si>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</si>
  <si>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</si>
  <si>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</si>
  <si>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</si>
  <si>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</si>
  <si>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</si>
  <si>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</si>
  <si>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</si>
  <si>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</si>
  <si>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</si>
  <si>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</si>
  <si>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</si>
  <si>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</si>
  <si>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</si>
  <si>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</si>
  <si>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</si>
  <si>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</si>
  <si>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</si>
  <si>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</si>
  <si>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</si>
  <si>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</si>
  <si>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</si>
  <si>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</si>
  <si>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</si>
  <si>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</si>
  <si>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</si>
  <si>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</si>
  <si>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</si>
  <si>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</si>
  <si>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</si>
  <si>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</si>
  <si>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</si>
  <si>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</si>
  <si>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</si>
  <si>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</si>
  <si>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</si>
  <si>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</si>
  <si>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</si>
  <si>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</si>
  <si>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</si>
  <si>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 xml:space="preserve">      </t>
  </si>
  <si>
    <t>AL-NUR HIGH SCHOOL</t>
  </si>
  <si>
    <t>SUBJECT</t>
  </si>
  <si>
    <t>PASS MARK</t>
  </si>
  <si>
    <t>MARKS OBTAIN</t>
  </si>
  <si>
    <t>PERCENTAGE</t>
  </si>
  <si>
    <t>GRADE</t>
  </si>
  <si>
    <t>TOTAL MARKS</t>
  </si>
  <si>
    <t>TOTAL MARK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</si>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</sst>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2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7" fillId="3" borderId="0" xfId="0" applyFont="1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9" fontId="0" fillId="3" borderId="1" xfId="1" applyFont="1" applyFill="1" applyBorder="1"/>
    <xf numFmtId="0" fontId="7" fillId="3" borderId="1" xfId="0" applyFont="1" applyFill="1" applyBorder="1"/>
    <xf numFmtId="9" fontId="0" fillId="3" borderId="0" xfId="1" applyFont="1" applyFill="1"/>
    <xf numFmtId="0" fontId="5" fillId="2" borderId="1" xfId="0" applyFont="1" applyFill="1" applyBorder="1"/>
    <xf numFmtId="0" fontId="6" fillId="3" borderId="0" xfId="0" applyFont="1" applyFill="1" applyAlignment="1">
      <alignment horizontal="center" vertical="center"/>
    </xf>
    <xf numFmtId="0" fontId="0" fillId="4" borderId="0" xfId="0" applyFill="1"/>
    <xf numFmtId="0" fontId="5" fillId="4" borderId="1" xfId="0" applyFont="1" applyFill="1" applyBorder="1"/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9" fontId="7" fillId="4" borderId="1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533400</xdr:colOff>
      <xdr:row>3</xdr:row>
      <xdr:rowOff>85839</xdr:rowOff>
    </xdr:from>
    <xdr:ext cx="2143124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65135B-C0D9-C75F-6EC9-27FCB71F2F5A}"/>
            </a:ext>
          </a:extLst>
        </xdr:cNvPr>
        <xdr:cNvSpPr txBox="1"/>
      </xdr:nvSpPr>
      <xdr:spPr>
        <a:xfrm flipH="1">
          <a:off x="4800600" y="571614"/>
          <a:ext cx="2143124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b">
          <a:spAutoFit/>
        </a:bodyPr>
        <a:lstStyle/>
        <a:p>
          <a:pPr algn="ctr"/>
          <a:r>
            <a:rPr lang="en-US" sz="1600" b="1" u="sng">
              <a:latin typeface="Calibri" panose="020F0502020204030204" pitchFamily="34" charset="0"/>
              <a:cs typeface="Calibri" panose="020F0502020204030204" pitchFamily="34" charset="0"/>
            </a:rPr>
            <a:t>REPORT CARD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266700</xdr:colOff>
      <xdr:row>2</xdr:row>
      <xdr:rowOff>123825</xdr:rowOff>
    </xdr:from>
    <xdr:ext cx="2600325" cy="3429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804C5DB-C912-02E2-ECE0-22BB3D006B89}"/>
            </a:ext>
          </a:extLst>
        </xdr:cNvPr>
        <xdr:cNvSpPr txBox="1"/>
      </xdr:nvSpPr>
      <xdr:spPr>
        <a:xfrm>
          <a:off x="1866900" y="447675"/>
          <a:ext cx="2600325" cy="342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200" b="1"/>
            <a:t>               REPORT CARD</a:t>
          </a:r>
        </a:p>
      </xdr:txBody>
    </xdr:sp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1"/>
  <sheetViews>
    <sheetView workbookViewId="0">
      <selection activeCell="K2" sqref="K2:K8"/>
    </sheetView>
  </sheetViews>
  <sheetFormatPr defaultColWidth="12.5703125" defaultRowHeight="15.75" customHeight="1"/>
  <cols>
    <col min="2" max="2" width="14.85546875" customWidth="1"/>
  </cols>
  <sheetData>
    <row r="1" spans="1:1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ht="14.25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2">
        <v>4</v>
      </c>
    </row>
    <row r="3" spans="1:11" ht="14.25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2">
        <v>5</v>
      </c>
    </row>
    <row r="4" spans="1:11" ht="14.25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2">
        <v>6</v>
      </c>
    </row>
    <row r="5" spans="1:11" ht="14.25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2">
        <v>7</v>
      </c>
    </row>
    <row r="6" spans="1:11" ht="14.25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2">
        <v>8</v>
      </c>
    </row>
    <row r="7" spans="1:11" ht="14.25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2">
        <v>9</v>
      </c>
    </row>
    <row r="8" spans="1:11" ht="14.25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2">
        <v>10</v>
      </c>
    </row>
    <row r="9" spans="1:11" ht="14.25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2"/>
    </row>
    <row r="10" spans="1:11" ht="14.25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2"/>
    </row>
    <row r="11" spans="1:11" ht="14.25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</row>
    <row r="12" spans="1:11" ht="14.25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</row>
    <row r="13" spans="1:11" ht="14.25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</row>
    <row r="14" spans="1:11" ht="14.25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</row>
    <row r="15" spans="1:11" ht="14.25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</row>
    <row r="16" spans="1:11" ht="14.25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</row>
    <row r="17" spans="1:10" ht="14.25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</row>
    <row r="18" spans="1:10" ht="14.25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</row>
    <row r="19" spans="1:10" ht="14.25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</row>
    <row r="20" spans="1:10" ht="14.25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</row>
    <row r="21" spans="1:10" ht="14.25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</row>
    <row r="22" spans="1:10" ht="14.25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</row>
    <row r="23" spans="1:10" ht="14.25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</row>
    <row r="24" spans="1:10" ht="14.25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</row>
    <row r="25" spans="1:10" ht="14.25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</row>
    <row r="26" spans="1:10" ht="14.25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</row>
    <row r="27" spans="1:10" ht="14.25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</row>
    <row r="28" spans="1:10" ht="14.25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</row>
    <row r="29" spans="1:10" ht="14.25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</row>
    <row r="30" spans="1:10" ht="14.25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</row>
    <row r="31" spans="1:10" ht="14.25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</row>
  </sheetData>
  <autoFilter ref="A1:J3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1347-52E6-42C9-800F-7F2F6F64B9A6}">
  <dimension ref="A1:S30"/>
  <sheetViews>
    <sheetView zoomScale="82" zoomScaleNormal="82" workbookViewId="0">
      <selection activeCell="H18" sqref="H18"/>
    </sheetView>
  </sheetViews>
  <sheetFormatPr defaultRowHeight="12.75"/>
  <cols>
    <col min="3" max="3" width="11.7109375" bestFit="1" customWidth="1"/>
    <col min="8" max="8" width="14.5703125" bestFit="1" customWidth="1"/>
    <col min="9" max="9" width="12.140625" bestFit="1" customWidth="1"/>
    <col min="10" max="10" width="15.140625" bestFit="1" customWidth="1"/>
    <col min="11" max="11" width="13.85546875" bestFit="1" customWidth="1"/>
    <col min="12" max="12" width="14.140625" bestFit="1" customWidth="1"/>
  </cols>
  <sheetData>
    <row r="1" spans="1:19" ht="12.75" customHeight="1">
      <c r="A1" s="4" t="s">
        <v>81</v>
      </c>
      <c r="B1" s="4"/>
      <c r="C1" s="4"/>
      <c r="D1" s="4"/>
      <c r="E1" s="4"/>
      <c r="F1" s="14" t="s">
        <v>82</v>
      </c>
      <c r="G1" s="14"/>
      <c r="H1" s="14"/>
      <c r="I1" s="14"/>
      <c r="J1" s="14"/>
      <c r="K1" s="14"/>
      <c r="L1" s="14"/>
      <c r="M1" s="14"/>
      <c r="N1" s="14"/>
      <c r="O1" s="5"/>
      <c r="P1" s="5"/>
      <c r="Q1" s="4"/>
      <c r="R1" s="4"/>
      <c r="S1" s="4"/>
    </row>
    <row r="2" spans="1:19" ht="12.75" customHeight="1">
      <c r="A2" s="4"/>
      <c r="B2" s="4"/>
      <c r="C2" s="4"/>
      <c r="D2" s="4"/>
      <c r="E2" s="4"/>
      <c r="F2" s="14"/>
      <c r="G2" s="14"/>
      <c r="H2" s="14"/>
      <c r="I2" s="14"/>
      <c r="J2" s="14"/>
      <c r="K2" s="14"/>
      <c r="L2" s="14"/>
      <c r="M2" s="14"/>
      <c r="N2" s="14"/>
      <c r="O2" s="5"/>
      <c r="P2" s="5"/>
      <c r="Q2" s="4"/>
      <c r="R2" s="4"/>
      <c r="S2" s="4"/>
    </row>
    <row r="3" spans="1:19" ht="12.75" customHeight="1">
      <c r="A3" s="4"/>
      <c r="B3" s="4"/>
      <c r="C3" s="4"/>
      <c r="D3" s="4"/>
      <c r="E3" s="4"/>
      <c r="F3" s="14"/>
      <c r="G3" s="14"/>
      <c r="H3" s="14"/>
      <c r="I3" s="14"/>
      <c r="J3" s="14"/>
      <c r="K3" s="14"/>
      <c r="L3" s="14"/>
      <c r="M3" s="14"/>
      <c r="N3" s="14"/>
      <c r="O3" s="5"/>
      <c r="P3" s="5"/>
      <c r="Q3" s="4"/>
      <c r="R3" s="4"/>
      <c r="S3" s="4"/>
    </row>
    <row r="4" spans="1:19" ht="12.75" customHeight="1">
      <c r="A4" s="4"/>
      <c r="B4" s="4"/>
      <c r="C4" s="4"/>
      <c r="D4" s="4"/>
      <c r="E4" s="4"/>
      <c r="F4" s="14"/>
      <c r="G4" s="14"/>
      <c r="H4" s="14"/>
      <c r="I4" s="14"/>
      <c r="J4" s="14"/>
      <c r="K4" s="14"/>
      <c r="L4" s="14"/>
      <c r="M4" s="14"/>
      <c r="N4" s="14"/>
      <c r="O4" s="5"/>
      <c r="P4" s="5"/>
      <c r="Q4" s="4"/>
      <c r="R4" s="4"/>
      <c r="S4" s="4"/>
    </row>
    <row r="5" spans="1:19" ht="12.75" customHeight="1">
      <c r="A5" s="4"/>
      <c r="B5" s="4"/>
      <c r="C5" s="4"/>
      <c r="D5" s="4"/>
      <c r="E5" s="4"/>
      <c r="F5" s="14"/>
      <c r="G5" s="14"/>
      <c r="H5" s="14"/>
      <c r="I5" s="14"/>
      <c r="J5" s="14"/>
      <c r="K5" s="14"/>
      <c r="L5" s="14"/>
      <c r="M5" s="14"/>
      <c r="N5" s="14"/>
      <c r="O5" s="5"/>
      <c r="P5" s="5"/>
      <c r="Q5" s="4"/>
      <c r="R5" s="4"/>
      <c r="S5" s="4"/>
    </row>
    <row r="6" spans="1:19" ht="12.75" customHeight="1">
      <c r="A6" s="4"/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  <c r="R6" s="4"/>
      <c r="S6" s="4"/>
    </row>
    <row r="7" spans="1:19" ht="12.75" customHeight="1">
      <c r="A7" s="4"/>
      <c r="B7" s="4"/>
      <c r="C7" s="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4"/>
      <c r="R7" s="4"/>
      <c r="S7" s="4"/>
    </row>
    <row r="8" spans="1:19">
      <c r="A8" s="4"/>
      <c r="B8" s="4"/>
      <c r="C8" s="4"/>
      <c r="D8" s="4"/>
      <c r="E8" s="4"/>
      <c r="F8" s="4"/>
      <c r="G8" s="4"/>
      <c r="H8" s="4"/>
      <c r="I8" s="4"/>
      <c r="J8" s="6"/>
      <c r="K8" s="6"/>
      <c r="L8" s="6"/>
      <c r="M8" s="4"/>
      <c r="N8" s="4"/>
      <c r="O8" s="4"/>
      <c r="P8" s="4"/>
      <c r="Q8" s="4"/>
      <c r="R8" s="4"/>
      <c r="S8" s="4"/>
    </row>
    <row r="9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>
      <c r="A10" s="4"/>
      <c r="B10" s="4"/>
      <c r="C10" s="4" t="s">
        <v>0</v>
      </c>
      <c r="D10" s="6" t="s">
        <v>69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>
      <c r="A11" s="4"/>
      <c r="B11" s="4"/>
      <c r="C11" s="4" t="s">
        <v>1</v>
      </c>
      <c r="D11" s="6" t="str">
        <f>VLOOKUP('Report Card'!D10,Database!$A$1:$J$31,2,0)</f>
        <v>Paul Johnson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>
      <c r="A12" s="4"/>
      <c r="B12" s="4"/>
      <c r="C12" s="4" t="s">
        <v>2</v>
      </c>
      <c r="D12" s="6" t="str">
        <f>VLOOKUP('Report Card'!D10,Database!$A$1:$J$31,3,0)</f>
        <v>Engineering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>
      <c r="A14" s="4"/>
      <c r="B14" s="4"/>
      <c r="C14" s="4"/>
      <c r="D14" s="4"/>
      <c r="E14" s="4"/>
      <c r="F14" s="4"/>
      <c r="G14" s="13" t="s">
        <v>83</v>
      </c>
      <c r="H14" s="13" t="s">
        <v>88</v>
      </c>
      <c r="I14" s="13" t="s">
        <v>84</v>
      </c>
      <c r="J14" s="13" t="s">
        <v>85</v>
      </c>
      <c r="K14" s="13" t="s">
        <v>86</v>
      </c>
      <c r="L14" s="13" t="s">
        <v>87</v>
      </c>
      <c r="M14" s="4"/>
      <c r="N14" s="4"/>
      <c r="O14" s="4"/>
      <c r="P14" s="4"/>
      <c r="Q14" s="4"/>
      <c r="R14" s="4"/>
      <c r="S14" s="4"/>
    </row>
    <row r="15" spans="1:19">
      <c r="A15" s="4"/>
      <c r="B15" s="4"/>
      <c r="C15" s="4"/>
      <c r="D15" s="4"/>
      <c r="E15" s="4"/>
      <c r="F15" s="4"/>
      <c r="G15" s="7" t="s">
        <v>3</v>
      </c>
      <c r="H15" s="8">
        <v>100</v>
      </c>
      <c r="I15" s="9">
        <v>50</v>
      </c>
      <c r="J15" s="8">
        <f>VLOOKUP(D10,Database!$A$1:$J$31,4,0)</f>
        <v>55</v>
      </c>
      <c r="K15" s="10">
        <f>J15/H15</f>
        <v>0.55000000000000004</v>
      </c>
      <c r="L15" s="7" t="b">
        <f>Sheet1!F15=IF(J15&gt;=85,"EXECLLENT",IF(J15&gt;=70,"VERY GOOD",IF(J15&gt;=60,"GOOD",IF(J15&gt;=50,"PASS",IF(J15&gt;=45,"FAIL")))))</f>
        <v>0</v>
      </c>
      <c r="M15" s="4"/>
      <c r="N15" s="4"/>
      <c r="O15" s="4"/>
      <c r="P15" s="4"/>
      <c r="Q15" s="4"/>
      <c r="R15" s="4"/>
      <c r="S15" s="4"/>
    </row>
    <row r="16" spans="1:19">
      <c r="A16" s="4"/>
      <c r="B16" s="4"/>
      <c r="C16" s="4"/>
      <c r="D16" s="4"/>
      <c r="E16" s="4"/>
      <c r="F16" s="4"/>
      <c r="G16" s="7" t="s">
        <v>4</v>
      </c>
      <c r="H16" s="8">
        <v>100</v>
      </c>
      <c r="I16" s="9">
        <v>50</v>
      </c>
      <c r="J16" s="8">
        <f>VLOOKUP(D10,Database!$A$1:$J$31,5,0)</f>
        <v>80</v>
      </c>
      <c r="K16" s="10">
        <f t="shared" ref="K16:K21" si="0">J16/H16</f>
        <v>0.8</v>
      </c>
      <c r="L16" s="7" t="str">
        <f t="shared" ref="L16:L21" si="1">IF(J16&gt;=85,"EXECLLENT",IF(J16&gt;=70,"VERY GOOD",IF(J16&gt;=60,"GOOD",IF(J16&gt;=50,"PASS",IF(J16&gt;=45,"FAIL")))))</f>
        <v>VERY GOOD</v>
      </c>
      <c r="M16" s="4"/>
      <c r="N16" s="4"/>
      <c r="O16" s="4"/>
      <c r="P16" s="4"/>
      <c r="Q16" s="4"/>
      <c r="R16" s="4"/>
      <c r="S16" s="4"/>
    </row>
    <row r="17" spans="1:19">
      <c r="A17" s="4"/>
      <c r="B17" s="4"/>
      <c r="C17" s="4"/>
      <c r="D17" s="4"/>
      <c r="E17" s="4"/>
      <c r="F17" s="4"/>
      <c r="G17" s="7" t="s">
        <v>5</v>
      </c>
      <c r="H17" s="8">
        <v>100</v>
      </c>
      <c r="I17" s="9">
        <v>50</v>
      </c>
      <c r="J17" s="8">
        <f>VLOOKUP(D10,Database!$A$1:$J$31,6,0)</f>
        <v>90</v>
      </c>
      <c r="K17" s="10">
        <f t="shared" si="0"/>
        <v>0.9</v>
      </c>
      <c r="L17" s="7" t="str">
        <f t="shared" si="1"/>
        <v>EXECLLENT</v>
      </c>
      <c r="M17" s="4"/>
      <c r="N17" s="4"/>
      <c r="O17" s="4"/>
      <c r="P17" s="4"/>
      <c r="Q17" s="4"/>
      <c r="R17" s="4"/>
      <c r="S17" s="4"/>
    </row>
    <row r="18" spans="1:19">
      <c r="A18" s="4"/>
      <c r="B18" s="4"/>
      <c r="C18" s="4"/>
      <c r="D18" s="4"/>
      <c r="E18" s="4"/>
      <c r="F18" s="4"/>
      <c r="G18" s="7" t="s">
        <v>6</v>
      </c>
      <c r="H18" s="8">
        <v>100</v>
      </c>
      <c r="I18" s="9">
        <v>50</v>
      </c>
      <c r="J18" s="8">
        <f>VLOOKUP(D10,Database!$A$1:$J$31,7,0)</f>
        <v>78</v>
      </c>
      <c r="K18" s="10">
        <f t="shared" si="0"/>
        <v>0.78</v>
      </c>
      <c r="L18" s="7" t="str">
        <f t="shared" si="1"/>
        <v>VERY GOOD</v>
      </c>
      <c r="M18" s="4"/>
      <c r="N18" s="4"/>
      <c r="O18" s="4"/>
      <c r="P18" s="4"/>
      <c r="Q18" s="4"/>
      <c r="R18" s="4"/>
      <c r="S18" s="4"/>
    </row>
    <row r="19" spans="1:19">
      <c r="A19" s="4"/>
      <c r="B19" s="4"/>
      <c r="C19" s="4"/>
      <c r="D19" s="4"/>
      <c r="E19" s="4"/>
      <c r="F19" s="4"/>
      <c r="G19" s="7" t="s">
        <v>7</v>
      </c>
      <c r="H19" s="8">
        <v>100</v>
      </c>
      <c r="I19" s="9">
        <v>50</v>
      </c>
      <c r="J19" s="8">
        <f>VLOOKUP(D10,Database!$A$1:$J$31,8,0)</f>
        <v>84</v>
      </c>
      <c r="K19" s="10">
        <f t="shared" si="0"/>
        <v>0.84</v>
      </c>
      <c r="L19" s="7" t="str">
        <f t="shared" si="1"/>
        <v>VERY GOOD</v>
      </c>
      <c r="M19" s="4"/>
      <c r="N19" s="4"/>
      <c r="O19" s="4"/>
      <c r="P19" s="4"/>
      <c r="Q19" s="4"/>
      <c r="R19" s="4"/>
      <c r="S19" s="4"/>
    </row>
    <row r="20" spans="1:19">
      <c r="A20" s="4"/>
      <c r="B20" s="4"/>
      <c r="C20" s="4"/>
      <c r="D20" s="4"/>
      <c r="E20" s="4"/>
      <c r="F20" s="4"/>
      <c r="G20" s="7" t="s">
        <v>8</v>
      </c>
      <c r="H20" s="8">
        <v>100</v>
      </c>
      <c r="I20" s="9">
        <v>50</v>
      </c>
      <c r="J20" s="8">
        <f>VLOOKUP(D10,Database!$A$1:$J$31,9,0)</f>
        <v>76</v>
      </c>
      <c r="K20" s="10">
        <f t="shared" si="0"/>
        <v>0.76</v>
      </c>
      <c r="L20" s="7" t="str">
        <f t="shared" si="1"/>
        <v>VERY GOOD</v>
      </c>
      <c r="M20" s="4"/>
      <c r="N20" s="4"/>
      <c r="O20" s="4"/>
      <c r="P20" s="4"/>
      <c r="Q20" s="4"/>
      <c r="R20" s="4"/>
      <c r="S20" s="4"/>
    </row>
    <row r="21" spans="1:19">
      <c r="A21" s="4"/>
      <c r="B21" s="4"/>
      <c r="C21" s="4"/>
      <c r="D21" s="4"/>
      <c r="E21" s="4"/>
      <c r="F21" s="4"/>
      <c r="G21" s="7" t="s">
        <v>9</v>
      </c>
      <c r="H21" s="8">
        <v>100</v>
      </c>
      <c r="I21" s="9">
        <v>50</v>
      </c>
      <c r="J21" s="8">
        <f>VLOOKUP(D10,Database!$A$1:$J$31,10,0)</f>
        <v>75</v>
      </c>
      <c r="K21" s="10">
        <f t="shared" si="0"/>
        <v>0.75</v>
      </c>
      <c r="L21" s="7" t="str">
        <f t="shared" si="1"/>
        <v>VERY GOOD</v>
      </c>
      <c r="M21" s="4"/>
      <c r="N21" s="4"/>
      <c r="O21" s="4"/>
      <c r="P21" s="4"/>
      <c r="Q21" s="4"/>
      <c r="R21" s="4"/>
      <c r="S21" s="4"/>
    </row>
    <row r="22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11" t="s">
        <v>88</v>
      </c>
      <c r="M23" s="7">
        <f>SUM(H15:H21)</f>
        <v>700</v>
      </c>
      <c r="N23" s="4"/>
      <c r="O23" s="4"/>
      <c r="P23" s="4"/>
      <c r="Q23" s="4"/>
      <c r="R23" s="4"/>
      <c r="S23" s="4"/>
    </row>
    <row r="24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11" t="s">
        <v>85</v>
      </c>
      <c r="M24" s="7">
        <f>SUM(J15:J21)</f>
        <v>538</v>
      </c>
      <c r="N24" s="4"/>
      <c r="O24" s="4"/>
      <c r="P24" s="4"/>
      <c r="Q24" s="4"/>
      <c r="R24" s="4"/>
      <c r="S24" s="4"/>
    </row>
    <row r="25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11" t="s">
        <v>86</v>
      </c>
      <c r="M25" s="10">
        <f>M24/700</f>
        <v>0.76857142857142857</v>
      </c>
      <c r="N25" s="4"/>
      <c r="O25" s="4"/>
      <c r="P25" s="4"/>
      <c r="Q25" s="4"/>
      <c r="R25" s="4"/>
      <c r="S25" s="4"/>
    </row>
    <row r="26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12"/>
      <c r="N26" s="4"/>
      <c r="O26" s="4"/>
      <c r="P26" s="4"/>
      <c r="Q26" s="4"/>
      <c r="R26" s="4"/>
      <c r="S26" s="4"/>
    </row>
    <row r="27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</sheetData>
  <mergeCells count="1">
    <mergeCell ref="F1:N5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109D74-FB7A-4F52-9FFD-EFB546F35DEE}">
          <x14:formula1>
            <xm:f>Database!$A$2:$A$31</xm:f>
          </x14:formula1>
          <xm:sqref>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47F12-711B-4C9E-9823-08C529AD1C0A}">
  <dimension ref="A1:J25"/>
  <sheetViews>
    <sheetView tabSelected="1" workbookViewId="0">
      <selection activeCell="F15" sqref="F15:F21"/>
    </sheetView>
  </sheetViews>
  <sheetFormatPr defaultRowHeight="12.75"/>
  <cols>
    <col min="1" max="1" width="11.85546875" customWidth="1"/>
    <col min="2" max="2" width="12.140625" customWidth="1"/>
    <col min="3" max="3" width="12.7109375" bestFit="1" customWidth="1"/>
    <col min="4" max="4" width="15.140625" bestFit="1" customWidth="1"/>
    <col min="5" max="5" width="9" bestFit="1" customWidth="1"/>
  </cols>
  <sheetData>
    <row r="1" spans="1:10">
      <c r="A1" s="15"/>
      <c r="B1" s="15"/>
      <c r="C1" s="18" t="s">
        <v>82</v>
      </c>
      <c r="D1" s="19"/>
      <c r="E1" s="19"/>
      <c r="F1" s="19"/>
      <c r="G1" s="19"/>
      <c r="H1" s="15"/>
      <c r="I1" s="15"/>
      <c r="J1" s="15"/>
    </row>
    <row r="2" spans="1:10">
      <c r="A2" s="15"/>
      <c r="B2" s="15"/>
      <c r="C2" s="19"/>
      <c r="D2" s="19"/>
      <c r="E2" s="19"/>
      <c r="F2" s="19"/>
      <c r="G2" s="19"/>
      <c r="H2" s="15"/>
      <c r="I2" s="15"/>
      <c r="J2" s="15"/>
    </row>
    <row r="3" spans="1:10">
      <c r="A3" s="15"/>
      <c r="B3" s="15"/>
      <c r="C3" s="19"/>
      <c r="D3" s="19"/>
      <c r="E3" s="19"/>
      <c r="F3" s="19"/>
      <c r="G3" s="19"/>
      <c r="H3" s="15"/>
      <c r="I3" s="15"/>
      <c r="J3" s="15"/>
    </row>
    <row r="4" spans="1:10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>
      <c r="A5" s="15"/>
      <c r="B5" s="15"/>
      <c r="C5" s="15"/>
      <c r="D5" s="15"/>
      <c r="E5" s="15"/>
      <c r="F5" s="15"/>
      <c r="G5" s="15"/>
      <c r="H5" s="15"/>
      <c r="I5" s="15"/>
      <c r="J5" s="15"/>
    </row>
    <row r="6" spans="1:10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>
      <c r="A7" s="16" t="s">
        <v>0</v>
      </c>
      <c r="B7" s="16" t="s">
        <v>61</v>
      </c>
      <c r="C7" s="15"/>
      <c r="D7" s="15"/>
      <c r="E7" s="15"/>
      <c r="F7" s="15"/>
      <c r="G7" s="15"/>
      <c r="H7" s="15"/>
      <c r="I7" s="15"/>
      <c r="J7" s="15"/>
    </row>
    <row r="8" spans="1:10">
      <c r="A8" s="16" t="s">
        <v>1</v>
      </c>
      <c r="B8" s="16" t="str">
        <f>VLOOKUP(B7,Database!A1:B31,2,0)</f>
        <v>Esther Okafor</v>
      </c>
      <c r="C8" s="15"/>
      <c r="D8" s="15"/>
      <c r="E8" s="15"/>
      <c r="F8" s="15"/>
      <c r="G8" s="15"/>
      <c r="H8" s="15"/>
      <c r="I8" s="15"/>
      <c r="J8" s="15"/>
    </row>
    <row r="9" spans="1:10">
      <c r="A9" s="16" t="s">
        <v>2</v>
      </c>
      <c r="B9" s="16" t="str">
        <f>VLOOKUP(B7,Database!A1:C31,3,0)</f>
        <v>Biology</v>
      </c>
      <c r="C9" s="15"/>
      <c r="D9" s="15"/>
      <c r="E9" s="15"/>
      <c r="F9" s="15"/>
      <c r="G9" s="15"/>
      <c r="H9" s="15"/>
      <c r="I9" s="15"/>
      <c r="J9" s="15"/>
    </row>
    <row r="10" spans="1:10">
      <c r="A10" s="15"/>
      <c r="B10" s="15"/>
      <c r="C10" s="17"/>
      <c r="D10" s="15"/>
      <c r="E10" s="15"/>
      <c r="F10" s="15"/>
      <c r="G10" s="15"/>
      <c r="H10" s="15"/>
      <c r="I10" s="15"/>
      <c r="J10" s="15"/>
    </row>
    <row r="11" spans="1:10">
      <c r="A11" s="15"/>
      <c r="B11" s="15"/>
      <c r="C11" s="15"/>
      <c r="D11" s="15"/>
      <c r="E11" s="15"/>
      <c r="F11" s="15"/>
      <c r="G11" s="15"/>
      <c r="H11" s="15"/>
      <c r="I11" s="15"/>
      <c r="J11" s="15"/>
    </row>
    <row r="12" spans="1:10">
      <c r="A12" s="15"/>
      <c r="B12" s="15"/>
      <c r="C12" s="15"/>
      <c r="D12" s="15"/>
      <c r="E12" s="15"/>
      <c r="F12" s="15"/>
      <c r="G12" s="15"/>
      <c r="H12" s="15"/>
      <c r="I12" s="15"/>
      <c r="J12" s="15"/>
    </row>
    <row r="13" spans="1:10">
      <c r="A13" s="15"/>
      <c r="B13" s="15"/>
      <c r="C13" s="15"/>
      <c r="D13" s="15"/>
      <c r="E13" s="15"/>
      <c r="F13" s="15"/>
      <c r="G13" s="15"/>
      <c r="H13" s="15"/>
      <c r="I13" s="15"/>
      <c r="J13" s="15"/>
    </row>
    <row r="14" spans="1:10">
      <c r="A14" s="15"/>
      <c r="B14" s="20" t="s">
        <v>83</v>
      </c>
      <c r="C14" s="20" t="s">
        <v>89</v>
      </c>
      <c r="D14" s="20" t="s">
        <v>85</v>
      </c>
      <c r="E14" s="20" t="s">
        <v>86</v>
      </c>
      <c r="F14" s="20" t="s">
        <v>87</v>
      </c>
      <c r="G14" s="20" t="s">
        <v>90</v>
      </c>
      <c r="H14" s="15"/>
      <c r="I14" s="15"/>
      <c r="J14" s="15"/>
    </row>
    <row r="15" spans="1:10">
      <c r="A15" s="15"/>
      <c r="B15" s="20" t="s">
        <v>3</v>
      </c>
      <c r="C15" s="23">
        <v>100</v>
      </c>
      <c r="D15" s="20">
        <f>VLOOKUP(B7,dta,4,0)</f>
        <v>74</v>
      </c>
      <c r="E15" s="24">
        <f>D15/C15</f>
        <v>0.74</v>
      </c>
      <c r="F15" s="20" t="str">
        <f>IF(B7&gt;=85,"EXECLLENT",IF(B7&gt;=70,"VERY GOOD",IF(B7&gt;=60,"GOOD",IF(B7&gt;=50,"PASS",IF(B7&gt;=45,"FAIL")))))</f>
        <v>EXECLLENT</v>
      </c>
      <c r="G15" s="20"/>
      <c r="H15" s="15"/>
      <c r="I15" s="15"/>
      <c r="J15" s="15"/>
    </row>
    <row r="16" spans="1:10">
      <c r="A16" s="15"/>
      <c r="B16" s="20" t="s">
        <v>4</v>
      </c>
      <c r="C16" s="22">
        <v>100</v>
      </c>
      <c r="D16" s="20">
        <f>VLOOKUP(B7,dta,5,0)</f>
        <v>76</v>
      </c>
      <c r="E16" s="24">
        <f t="shared" ref="E16:E21" si="0">D16/C16</f>
        <v>0.76</v>
      </c>
      <c r="F16" s="20" t="str">
        <f t="shared" ref="F16:F21" si="1">IF(B8&gt;=85,"EXECLLENT",IF(B8&gt;=70,"VERY GOOD",IF(B8&gt;=60,"GOOD",IF(B8&gt;=50,"PASS",IF(B8&gt;=45,"FAIL")))))</f>
        <v>EXECLLENT</v>
      </c>
      <c r="G16" s="21"/>
      <c r="H16" s="15"/>
      <c r="I16" s="15"/>
      <c r="J16" s="15"/>
    </row>
    <row r="17" spans="1:10">
      <c r="A17" s="15"/>
      <c r="B17" s="21" t="s">
        <v>5</v>
      </c>
      <c r="C17" s="22">
        <v>100</v>
      </c>
      <c r="D17" s="20">
        <f>VLOOKUP(B7,dta,6,0)</f>
        <v>72</v>
      </c>
      <c r="E17" s="24">
        <f t="shared" si="0"/>
        <v>0.72</v>
      </c>
      <c r="F17" s="20" t="str">
        <f t="shared" si="1"/>
        <v>EXECLLENT</v>
      </c>
      <c r="G17" s="21"/>
      <c r="H17" s="15"/>
      <c r="I17" s="15"/>
      <c r="J17" s="15"/>
    </row>
    <row r="18" spans="1:10">
      <c r="A18" s="15"/>
      <c r="B18" s="21" t="s">
        <v>6</v>
      </c>
      <c r="C18" s="22">
        <v>100</v>
      </c>
      <c r="D18" s="20">
        <f>VLOOKUP(B7,dta,7,0)</f>
        <v>78</v>
      </c>
      <c r="E18" s="24">
        <f t="shared" si="0"/>
        <v>0.78</v>
      </c>
      <c r="F18" s="20" t="b">
        <f t="shared" si="1"/>
        <v>0</v>
      </c>
      <c r="G18" s="21"/>
      <c r="H18" s="15"/>
      <c r="I18" s="15"/>
      <c r="J18" s="15"/>
    </row>
    <row r="19" spans="1:10">
      <c r="A19" s="15"/>
      <c r="B19" s="21" t="s">
        <v>7</v>
      </c>
      <c r="C19" s="22">
        <v>100</v>
      </c>
      <c r="D19" s="20">
        <f>VLOOKUP(B7,dta,8,0)</f>
        <v>75</v>
      </c>
      <c r="E19" s="24">
        <f t="shared" si="0"/>
        <v>0.75</v>
      </c>
      <c r="F19" s="20" t="b">
        <f t="shared" si="1"/>
        <v>0</v>
      </c>
      <c r="G19" s="21"/>
      <c r="H19" s="15"/>
      <c r="I19" s="15"/>
      <c r="J19" s="15"/>
    </row>
    <row r="20" spans="1:10">
      <c r="A20" s="15"/>
      <c r="B20" s="21" t="s">
        <v>8</v>
      </c>
      <c r="C20" s="22">
        <v>100</v>
      </c>
      <c r="D20" s="20">
        <f>VLOOKUP(B7,dta,9,0)</f>
        <v>68</v>
      </c>
      <c r="E20" s="24">
        <f t="shared" si="0"/>
        <v>0.68</v>
      </c>
      <c r="F20" s="20" t="b">
        <f t="shared" si="1"/>
        <v>0</v>
      </c>
      <c r="G20" s="21"/>
      <c r="H20" s="15"/>
      <c r="I20" s="15"/>
      <c r="J20" s="15"/>
    </row>
    <row r="21" spans="1:10">
      <c r="A21" s="15"/>
      <c r="B21" s="21" t="s">
        <v>9</v>
      </c>
      <c r="C21" s="22">
        <v>100</v>
      </c>
      <c r="D21" s="20">
        <f>VLOOKUP(B7,dta,10,0)</f>
        <v>70</v>
      </c>
      <c r="E21" s="24">
        <f t="shared" si="0"/>
        <v>0.7</v>
      </c>
      <c r="F21" s="20" t="b">
        <f t="shared" si="1"/>
        <v>0</v>
      </c>
      <c r="G21" s="21"/>
      <c r="H21" s="15"/>
      <c r="I21" s="15"/>
      <c r="J21" s="15"/>
    </row>
    <row r="22" spans="1:10">
      <c r="A22" s="15"/>
      <c r="B22" s="15"/>
      <c r="C22" s="15"/>
      <c r="D22" s="15"/>
      <c r="E22" s="20"/>
      <c r="F22" s="15"/>
      <c r="G22" s="15"/>
      <c r="H22" s="15"/>
      <c r="I22" s="15"/>
      <c r="J22" s="15"/>
    </row>
    <row r="23" spans="1:10">
      <c r="A23" s="15"/>
      <c r="B23" s="15"/>
      <c r="C23" s="15"/>
      <c r="D23" s="15"/>
      <c r="E23" s="15"/>
      <c r="F23" s="15"/>
      <c r="G23" s="15"/>
      <c r="H23" s="15"/>
      <c r="I23" s="15"/>
      <c r="J23" s="15"/>
    </row>
    <row r="24" spans="1:10">
      <c r="A24" s="15"/>
      <c r="B24" s="15"/>
      <c r="C24" s="15"/>
      <c r="D24" s="15"/>
      <c r="E24" s="15"/>
      <c r="F24" s="15"/>
      <c r="G24" s="15"/>
      <c r="H24" s="15"/>
      <c r="I24" s="15"/>
      <c r="J24" s="15"/>
    </row>
    <row r="25" spans="1:10">
      <c r="A25" s="15"/>
      <c r="B25" s="15"/>
      <c r="C25" s="15"/>
      <c r="D25" s="15"/>
      <c r="E25" s="15"/>
      <c r="F25" s="15"/>
      <c r="G25" s="15"/>
      <c r="H25" s="15"/>
      <c r="I25" s="15"/>
      <c r="J25" s="15"/>
    </row>
  </sheetData>
  <mergeCells count="1">
    <mergeCell ref="C1:G3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5D361D-FCE2-4385-A5E8-5ACB3EC179A3}">
          <x14:formula1>
            <xm:f>Database!$A$1:$A$31</xm:f>
          </x14:formula1>
          <xm:sqref>B7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Database</vt:lpstr>
      <vt:lpstr>Report Card</vt:lpstr>
      <vt:lpstr>Sheet1</vt:lpstr>
      <vt:lpstr>dta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halymarh</dc:creator>
  <cp:lastModifiedBy>haleemah jibril</cp:lastModifiedBy>
  <cp:lastPrinted>2026-05-12T10:39:18Z</cp:lastPrinted>
  <dcterms:created xsi:type="dcterms:W3CDTF">2026-05-09T13:09:12Z</dcterms:created>
  <dcterms:modified xsi:type="dcterms:W3CDTF">2026-05-12T15:15:08Z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