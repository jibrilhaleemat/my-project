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ABC249E-9C0D-4FB0-B52E-E5966DEFF5B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base" sheetId="1" r:id="rId1"/>
    <sheet name="Report Card" sheetId="3" r:id="rId2"/>
  </sheets>
  <calcPr calcId="191029"/>
</workbook>
</file>

<file path=xl/calcChain.xml><?xml version="1.0" encoding="utf-8"?>
<calcChain xmlns="http://schemas.openxmlformats.org/spreadsheetml/2006/main">
  <c r="M23" i="3" l="1"/>
  <c r="J16" i="3"/>
  <c r="L16" i="3" s="1"/>
  <c r="J17" i="3"/>
  <c r="K17" i="3" s="1"/>
  <c r="J18" i="3"/>
  <c r="K18" i="3" s="1"/>
  <c r="J19" i="3"/>
  <c r="K19" i="3" s="1"/>
  <c r="J20" i="3"/>
  <c r="L20" i="3" s="1"/>
  <c r="J21" i="3"/>
  <c r="K21" i="3" s="1"/>
  <c r="J15" i="3"/>
  <c r="K15" i="3" s="1"/>
  <c r="D12" i="3"/>
  <c r="D11" i="3"/>
  <c r="M24" i="3" l="1"/>
  <c r="M25" i="3" s="1"/>
  <c r="L18" i="3"/>
  <c r="L21" i="3"/>
  <c r="L17" i="3"/>
  <c r="L19" i="3"/>
  <c r="L15" i="3"/>
  <c r="K20" i="3"/>
  <c r="K16" i="3"/>
</calcChain>
</file>

<file path=xl/sharedStrings.xml><?xml version="1.0" encoding="utf-8"?>
<sst xmlns="http://schemas.openxmlformats.org/spreadsheetml/2006/main" count="122" uniqueCount="89">
  <si>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</si>
  <si>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</si>
  <si>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</si>
  <si>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</si>
  <si>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</si>
  <si>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</si>
  <si>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</si>
  <si>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</si>
  <si>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</si>
  <si>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</si>
  <si>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</si>
  <si>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</si>
  <si>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</si>
  <si>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</si>
  <si>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</si>
  <si>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</si>
  <si>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</si>
  <si>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</si>
  <si>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</si>
  <si>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</si>
  <si>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</si>
  <si>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</si>
  <si>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</si>
  <si>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</si>
  <si>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</si>
  <si>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</si>
  <si>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</si>
  <si>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</si>
  <si>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</si>
  <si>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</si>
  <si>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</si>
  <si>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</si>
  <si>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</si>
  <si>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</si>
  <si>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</si>
  <si>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</si>
  <si>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</si>
  <si>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</si>
  <si>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</si>
  <si>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</si>
  <si>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</si>
  <si>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</si>
  <si>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</si>
  <si>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</si>
  <si>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</si>
  <si>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</si>
  <si>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</si>
  <si>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</si>
  <si>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</si>
  <si>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</si>
  <si>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</si>
  <si>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</si>
  <si>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</si>
  <si>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</si>
  <si>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</si>
  <si>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</si>
  <si>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</si>
  <si>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</si>
  <si>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</si>
  <si>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</si>
  <si>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</si>
  <si>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</si>
  <si>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</si>
  <si>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</si>
  <si>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</si>
  <si>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</si>
  <si>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</si>
  <si>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</si>
  <si>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</si>
  <si>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</si>
  <si>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</si>
  <si>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</si>
  <si>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</si>
  <si>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</si>
  <si>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</si>
  <si>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</si>
  <si>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</si>
  <si>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</si>
  <si>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</si>
  <si>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</si>
  <si>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</si>
  <si>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 xml:space="preserve">      </t>
  </si>
  <si>
    <t>AL-NUR HIGH SCHOOL</t>
  </si>
  <si>
    <t>SUBJECT</t>
  </si>
  <si>
    <t>PASS MARK</t>
  </si>
  <si>
    <t>MARKS OBTAIN</t>
  </si>
  <si>
    <t>PERCENTAGE</t>
  </si>
  <si>
    <t>GRADE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</si>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</sst>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6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/>
    <xf numFmtId="0" fontId="7" fillId="3" borderId="1" xfId="0" applyFont="1" applyFill="1" applyBorder="1"/>
    <xf numFmtId="9" fontId="0" fillId="3" borderId="0" xfId="1" applyFont="1" applyFill="1"/>
    <xf numFmtId="0" fontId="5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3</xdr:row>
      <xdr:rowOff>85839</xdr:rowOff>
    </xdr:from>
    <xdr:ext cx="2143124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65135B-C0D9-C75F-6EC9-27FCB71F2F5A}"/>
            </a:ext>
          </a:extLst>
        </xdr:cNvPr>
        <xdr:cNvSpPr txBox="1"/>
      </xdr:nvSpPr>
      <xdr:spPr>
        <a:xfrm flipH="1">
          <a:off x="4800600" y="571614"/>
          <a:ext cx="214312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1600" b="1" u="sng">
              <a:latin typeface="Calibri" panose="020F0502020204030204" pitchFamily="34" charset="0"/>
              <a:cs typeface="Calibri" panose="020F0502020204030204" pitchFamily="34" charset="0"/>
            </a:rPr>
            <a:t>REPORT CARD</a:t>
          </a:r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workbookViewId="0">
      <selection activeCell="E1" activeCellId="1" sqref="D1 E1:J1"/>
    </sheetView>
  </sheetViews>
  <sheetFormatPr defaultColWidth="12.5703125" defaultRowHeight="15.75" customHeight="1"/>
  <cols>
    <col min="2" max="2" width="14.8554687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</row>
    <row r="3" spans="1:10" ht="14.2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</row>
    <row r="4" spans="1:10" ht="14.2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</row>
    <row r="5" spans="1:10" ht="14.2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</row>
    <row r="6" spans="1:10" ht="14.2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</row>
    <row r="7" spans="1:10" ht="14.2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</row>
    <row r="8" spans="1:10" ht="14.2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</row>
    <row r="9" spans="1:10" ht="14.2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</row>
    <row r="10" spans="1:10" ht="14.2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</row>
    <row r="11" spans="1:10" ht="14.2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</row>
    <row r="12" spans="1:10" ht="14.2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</row>
    <row r="13" spans="1:10" ht="14.2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</row>
    <row r="14" spans="1:10" ht="14.2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</row>
    <row r="15" spans="1:10" ht="14.2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</row>
    <row r="16" spans="1:10" ht="14.2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</row>
    <row r="17" spans="1:10" ht="14.2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</row>
    <row r="18" spans="1:10" ht="14.2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</row>
    <row r="19" spans="1:10" ht="14.2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</row>
    <row r="20" spans="1:10" ht="14.2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</row>
    <row r="21" spans="1:10" ht="14.2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</row>
    <row r="22" spans="1:10" ht="14.2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</row>
    <row r="23" spans="1:10" ht="14.2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</row>
    <row r="24" spans="1:10" ht="14.2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</row>
    <row r="25" spans="1:10" ht="14.2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</row>
    <row r="26" spans="1:10" ht="14.2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</row>
    <row r="27" spans="1:10" ht="14.2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</row>
    <row r="28" spans="1:10" ht="14.2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</row>
    <row r="29" spans="1:10" ht="14.2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</row>
    <row r="30" spans="1:10" ht="14.2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</row>
    <row r="31" spans="1:10" ht="14.2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1347-52E6-42C9-800F-7F2F6F64B9A6}">
  <dimension ref="A1:S30"/>
  <sheetViews>
    <sheetView tabSelected="1" topLeftCell="D1" workbookViewId="0">
      <selection activeCell="I10" sqref="I10"/>
    </sheetView>
  </sheetViews>
  <sheetFormatPr defaultRowHeight="12.75"/>
  <cols>
    <col min="3" max="3" width="11.7109375" bestFit="1" customWidth="1"/>
    <col min="8" max="8" width="14.5703125" bestFit="1" customWidth="1"/>
    <col min="9" max="9" width="12.140625" bestFit="1" customWidth="1"/>
    <col min="10" max="10" width="15.140625" bestFit="1" customWidth="1"/>
    <col min="11" max="11" width="13.85546875" bestFit="1" customWidth="1"/>
    <col min="12" max="12" width="14.140625" bestFit="1" customWidth="1"/>
  </cols>
  <sheetData>
    <row r="1" spans="1:19" ht="12.75" customHeight="1">
      <c r="A1" s="4" t="s">
        <v>81</v>
      </c>
      <c r="B1" s="4"/>
      <c r="C1" s="4"/>
      <c r="D1" s="4"/>
      <c r="E1" s="4"/>
      <c r="F1" s="5" t="s">
        <v>82</v>
      </c>
      <c r="G1" s="5"/>
      <c r="H1" s="5"/>
      <c r="I1" s="5"/>
      <c r="J1" s="5"/>
      <c r="K1" s="5"/>
      <c r="L1" s="5"/>
      <c r="M1" s="5"/>
      <c r="N1" s="5"/>
      <c r="O1" s="7"/>
      <c r="P1" s="7"/>
      <c r="Q1" s="4"/>
      <c r="R1" s="4"/>
      <c r="S1" s="4"/>
    </row>
    <row r="2" spans="1:19" ht="12.75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7"/>
      <c r="P2" s="7"/>
      <c r="Q2" s="4"/>
      <c r="R2" s="4"/>
      <c r="S2" s="4"/>
    </row>
    <row r="3" spans="1:19" ht="12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7"/>
      <c r="P3" s="7"/>
      <c r="Q3" s="4"/>
      <c r="R3" s="4"/>
      <c r="S3" s="4"/>
    </row>
    <row r="4" spans="1:19" ht="12.75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7"/>
      <c r="P4" s="7"/>
      <c r="Q4" s="4"/>
      <c r="R4" s="4"/>
      <c r="S4" s="4"/>
    </row>
    <row r="5" spans="1:19" ht="12.75" customHeight="1">
      <c r="A5" s="4"/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7"/>
      <c r="P5" s="7"/>
      <c r="Q5" s="4"/>
      <c r="R5" s="4"/>
      <c r="S5" s="4"/>
    </row>
    <row r="6" spans="1:19" ht="12.75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4"/>
      <c r="R6" s="4"/>
      <c r="S6" s="4"/>
    </row>
    <row r="7" spans="1:19" ht="12.75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6"/>
      <c r="K8" s="6"/>
      <c r="L8" s="6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 t="s">
        <v>0</v>
      </c>
      <c r="D10" s="6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 t="s">
        <v>1</v>
      </c>
      <c r="D11" s="6" t="str">
        <f>VLOOKUP('Report Card'!D10,Database!$A$1:$J$31,2,0)</f>
        <v>Maryam Aliyu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 t="s">
        <v>2</v>
      </c>
      <c r="D12" s="6" t="str">
        <f>VLOOKUP('Report Card'!D10,Database!$A$1:$J$31,3,0)</f>
        <v>Chemistry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E14" s="4"/>
      <c r="F14" s="4"/>
      <c r="G14" s="14" t="s">
        <v>83</v>
      </c>
      <c r="H14" s="14" t="s">
        <v>88</v>
      </c>
      <c r="I14" s="14" t="s">
        <v>84</v>
      </c>
      <c r="J14" s="14" t="s">
        <v>85</v>
      </c>
      <c r="K14" s="14" t="s">
        <v>86</v>
      </c>
      <c r="L14" s="14" t="s">
        <v>87</v>
      </c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E15" s="4"/>
      <c r="F15" s="4"/>
      <c r="G15" s="8" t="s">
        <v>3</v>
      </c>
      <c r="H15" s="9">
        <v>100</v>
      </c>
      <c r="I15" s="10">
        <v>50</v>
      </c>
      <c r="J15" s="9">
        <f>VLOOKUP(D10,Database!$A$1:$J$31,4,0)</f>
        <v>70</v>
      </c>
      <c r="K15" s="11">
        <f>J15/H15</f>
        <v>0.7</v>
      </c>
      <c r="L15" s="8" t="str">
        <f>IF(J15&gt;=85,"EXECLLENT",IF(J15&gt;=70,"VERY GOOD",IF(J15&gt;=60,"GOOD",IF(J15&gt;=50,"PASS",IF(J15&gt;=45,"FAIL")))))</f>
        <v>VERY GOOD</v>
      </c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8" t="s">
        <v>4</v>
      </c>
      <c r="H16" s="9">
        <v>100</v>
      </c>
      <c r="I16" s="10">
        <v>50</v>
      </c>
      <c r="J16" s="9">
        <f>VLOOKUP(D10,Database!$A$1:$J$31,5,0)</f>
        <v>74</v>
      </c>
      <c r="K16" s="11">
        <f t="shared" ref="K16:K21" si="0">J16/H16</f>
        <v>0.74</v>
      </c>
      <c r="L16" s="8" t="str">
        <f t="shared" ref="L16:L21" si="1">IF(J16&gt;=85,"EXECLLENT",IF(J16&gt;=70,"VERY GOOD",IF(J16&gt;=60,"GOOD",IF(J16&gt;=50,"PASS",IF(J16&gt;=45,"FAIL")))))</f>
        <v>VERY GOOD</v>
      </c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8" t="s">
        <v>5</v>
      </c>
      <c r="H17" s="9">
        <v>100</v>
      </c>
      <c r="I17" s="10">
        <v>50</v>
      </c>
      <c r="J17" s="9">
        <f>VLOOKUP(D10,Database!$A$1:$J$31,6,0)</f>
        <v>68</v>
      </c>
      <c r="K17" s="11">
        <f t="shared" si="0"/>
        <v>0.68</v>
      </c>
      <c r="L17" s="8" t="str">
        <f t="shared" si="1"/>
        <v>GOOD</v>
      </c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8" t="s">
        <v>6</v>
      </c>
      <c r="H18" s="9">
        <v>100</v>
      </c>
      <c r="I18" s="10">
        <v>50</v>
      </c>
      <c r="J18" s="9">
        <f>VLOOKUP(D10,Database!$A$1:$J$31,7,0)</f>
        <v>55</v>
      </c>
      <c r="K18" s="11">
        <f t="shared" si="0"/>
        <v>0.55000000000000004</v>
      </c>
      <c r="L18" s="8" t="str">
        <f t="shared" si="1"/>
        <v>PASS</v>
      </c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8" t="s">
        <v>7</v>
      </c>
      <c r="H19" s="9">
        <v>100</v>
      </c>
      <c r="I19" s="10">
        <v>50</v>
      </c>
      <c r="J19" s="9">
        <f>VLOOKUP(D10,Database!$A$1:$J$31,8,0)</f>
        <v>75</v>
      </c>
      <c r="K19" s="11">
        <f t="shared" si="0"/>
        <v>0.75</v>
      </c>
      <c r="L19" s="8" t="str">
        <f t="shared" si="1"/>
        <v>VERY GOOD</v>
      </c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8" t="s">
        <v>8</v>
      </c>
      <c r="H20" s="9">
        <v>100</v>
      </c>
      <c r="I20" s="10">
        <v>50</v>
      </c>
      <c r="J20" s="9">
        <f>VLOOKUP(D10,Database!$A$1:$J$31,9,0)</f>
        <v>77</v>
      </c>
      <c r="K20" s="11">
        <f t="shared" si="0"/>
        <v>0.77</v>
      </c>
      <c r="L20" s="8" t="str">
        <f t="shared" si="1"/>
        <v>VERY GOOD</v>
      </c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8" t="s">
        <v>9</v>
      </c>
      <c r="H21" s="9">
        <v>100</v>
      </c>
      <c r="I21" s="10">
        <v>50</v>
      </c>
      <c r="J21" s="9">
        <f>VLOOKUP(D10,Database!$A$1:$J$31,10,0)</f>
        <v>69</v>
      </c>
      <c r="K21" s="11">
        <f t="shared" si="0"/>
        <v>0.69</v>
      </c>
      <c r="L21" s="8" t="str">
        <f t="shared" si="1"/>
        <v>GOOD</v>
      </c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2" t="s">
        <v>88</v>
      </c>
      <c r="M23" s="8">
        <f>SUM(H15:H21)</f>
        <v>700</v>
      </c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2" t="s">
        <v>85</v>
      </c>
      <c r="M24" s="8">
        <f>SUM(J15:J21)</f>
        <v>488</v>
      </c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2" t="s">
        <v>86</v>
      </c>
      <c r="M25" s="11">
        <f>M24/700</f>
        <v>0.69714285714285718</v>
      </c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3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</sheetData>
  <mergeCells count="1">
    <mergeCell ref="F1:N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09D74-FB7A-4F52-9FFD-EFB546F35DEE}">
          <x14:formula1>
            <xm:f>Database!$A$2:$A$31</xm:f>
          </x14:formula1>
          <xm:sqref>D10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Report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halymarh</dc:creator>
  <cp:lastModifiedBy>haleemah jibril</cp:lastModifiedBy>
  <dcterms:created xsi:type="dcterms:W3CDTF">2026-05-09T13:09:12Z</dcterms:created>
  <dcterms:modified xsi:type="dcterms:W3CDTF">2026-05-09T13:09:12Z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